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5" r:id="rId1"/>
    <sheet name="定薪定档表" sheetId="4" r:id="rId2"/>
  </sheets>
  <calcPr calcId="144525"/>
</workbook>
</file>

<file path=xl/sharedStrings.xml><?xml version="1.0" encoding="utf-8"?>
<sst xmlns="http://schemas.openxmlformats.org/spreadsheetml/2006/main" count="672" uniqueCount="313">
  <si>
    <t>DJ</t>
  </si>
  <si>
    <t>GWGZ</t>
  </si>
  <si>
    <t>JXGZ</t>
  </si>
  <si>
    <t>ZFBT</t>
  </si>
  <si>
    <t>HSBT</t>
  </si>
  <si>
    <t>USER_BU</t>
  </si>
  <si>
    <t>档级</t>
  </si>
  <si>
    <t>岗位工资</t>
  </si>
  <si>
    <t>绩效工资</t>
  </si>
  <si>
    <t>住房补贴</t>
  </si>
  <si>
    <t>伙食补贴</t>
  </si>
  <si>
    <t>公司归属</t>
  </si>
  <si>
    <t>B1-1</t>
  </si>
  <si>
    <t>INHENERGY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</si>
  <si>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</si>
  <si>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</si>
  <si>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</si>
  <si>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</si>
  <si>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</si>
  <si>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</si>
  <si>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</si>
  <si>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</si>
  <si>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</si>
  <si>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</si>
  <si>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</si>
  <si>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</si>
  <si>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</si>
  <si>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</si>
  <si>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</si>
  <si>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</si>
  <si>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</si>
  <si>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</si>
  <si>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</si>
  <si>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B3-1</t>
  </si>
  <si>
    <t>B3-2</t>
  </si>
  <si>
    <t>B3-3</t>
  </si>
  <si>
    <t>B3-4</t>
  </si>
  <si>
    <t>B3-5</t>
  </si>
  <si>
    <t>B3-6</t>
  </si>
  <si>
    <t>B3-7</t>
  </si>
  <si>
    <t>B3-8</t>
  </si>
  <si>
    <t>B3-9</t>
  </si>
  <si>
    <t>B3-10</t>
  </si>
  <si>
    <t>B4-1</t>
  </si>
  <si>
    <t>B4-2</t>
  </si>
  <si>
    <t>B4-3</t>
  </si>
  <si>
    <t>B4-4</t>
  </si>
  <si>
    <t>B4-5</t>
  </si>
  <si>
    <t>B4-6</t>
  </si>
  <si>
    <t>B4-7</t>
  </si>
  <si>
    <t>B4-8</t>
  </si>
  <si>
    <t>B4-9</t>
  </si>
  <si>
    <t>B4-10</t>
  </si>
  <si>
    <t>B5-1</t>
  </si>
  <si>
    <t>B5-2</t>
  </si>
  <si>
    <t>B5-3</t>
  </si>
  <si>
    <t>B5-4</t>
  </si>
  <si>
    <t>B5-5</t>
  </si>
  <si>
    <t>B5-6</t>
  </si>
  <si>
    <t>B5-7</t>
  </si>
  <si>
    <t>B5-8</t>
  </si>
  <si>
    <t>B5-9</t>
  </si>
  <si>
    <t>B5-10</t>
  </si>
  <si>
    <t>R1-1</t>
  </si>
  <si>
    <t>R1-2</t>
  </si>
  <si>
    <t>R1-3</t>
  </si>
  <si>
    <t>R1-4</t>
  </si>
  <si>
    <t>R1-5</t>
  </si>
  <si>
    <t>R1-6</t>
  </si>
  <si>
    <t>R1-7</t>
  </si>
  <si>
    <t>R1-8</t>
  </si>
  <si>
    <t>R1-9</t>
  </si>
  <si>
    <t>R1-10</t>
  </si>
  <si>
    <t>R2-1</t>
  </si>
  <si>
    <t>R2-2</t>
  </si>
  <si>
    <t>R2-3</t>
  </si>
  <si>
    <t>R2-4</t>
  </si>
  <si>
    <t>R2-5</t>
  </si>
  <si>
    <t>R2-6</t>
  </si>
  <si>
    <t>R2-7</t>
  </si>
  <si>
    <t>R2-8</t>
  </si>
  <si>
    <t>R2-9</t>
  </si>
  <si>
    <t>R2-10</t>
  </si>
  <si>
    <t>R3-1</t>
  </si>
  <si>
    <t>R3-2</t>
  </si>
  <si>
    <t>R3-3</t>
  </si>
  <si>
    <t>R3-4</t>
  </si>
  <si>
    <t>R3-5</t>
  </si>
  <si>
    <t>R3-6</t>
  </si>
  <si>
    <t>R3-7</t>
  </si>
  <si>
    <t>R3-8</t>
  </si>
  <si>
    <t>R3-9</t>
  </si>
  <si>
    <t>R3-10</t>
  </si>
  <si>
    <t>R4-1</t>
  </si>
  <si>
    <t>R4-2</t>
  </si>
  <si>
    <t>R4-3</t>
  </si>
  <si>
    <t>R4-4</t>
  </si>
  <si>
    <t>R4-5</t>
  </si>
  <si>
    <t>R4-6</t>
  </si>
  <si>
    <t>R4-7</t>
  </si>
  <si>
    <t>R4-8</t>
  </si>
  <si>
    <t>R4-9</t>
  </si>
  <si>
    <t>R4-10</t>
  </si>
  <si>
    <t>R5-1</t>
  </si>
  <si>
    <t>R5-2</t>
  </si>
  <si>
    <t>R5-3</t>
  </si>
  <si>
    <t>R5-4</t>
  </si>
  <si>
    <t>R5-5</t>
  </si>
  <si>
    <t>R5-6</t>
  </si>
  <si>
    <t>R5-7</t>
  </si>
  <si>
    <t>R5-8</t>
  </si>
  <si>
    <t>R5-9</t>
  </si>
  <si>
    <t>R5-10</t>
  </si>
  <si>
    <t>R6-1</t>
  </si>
  <si>
    <t>R6-2</t>
  </si>
  <si>
    <t>R6-3</t>
  </si>
  <si>
    <t>R6-4</t>
  </si>
  <si>
    <t>R6-5</t>
  </si>
  <si>
    <t>R6-6</t>
  </si>
  <si>
    <t>R6-7</t>
  </si>
  <si>
    <t>R6-8</t>
  </si>
  <si>
    <t>R6-9</t>
  </si>
  <si>
    <t>R6-10</t>
  </si>
  <si>
    <t>P1-1</t>
  </si>
  <si>
    <t>P1-2</t>
  </si>
  <si>
    <t>P1-3</t>
  </si>
  <si>
    <t>P1-4</t>
  </si>
  <si>
    <t>P1-5</t>
  </si>
  <si>
    <t>P1-6</t>
  </si>
  <si>
    <t>P1-7</t>
  </si>
  <si>
    <t>P1-8</t>
  </si>
  <si>
    <t>P1-9</t>
  </si>
  <si>
    <t>P1-10</t>
  </si>
  <si>
    <t>P2-1</t>
  </si>
  <si>
    <t>P2-2</t>
  </si>
  <si>
    <t>P2-3</t>
  </si>
  <si>
    <t>P2-4</t>
  </si>
  <si>
    <t>P2-5</t>
  </si>
  <si>
    <t>P2-6</t>
  </si>
  <si>
    <t>P2-7</t>
  </si>
  <si>
    <t>P2-8</t>
  </si>
  <si>
    <t>P2-9</t>
  </si>
  <si>
    <t>P2-10</t>
  </si>
  <si>
    <t>P3-1</t>
  </si>
  <si>
    <t>P3-2</t>
  </si>
  <si>
    <t>P3-3</t>
  </si>
  <si>
    <t>P3-4</t>
  </si>
  <si>
    <t>P3-5</t>
  </si>
  <si>
    <t>P3-6</t>
  </si>
  <si>
    <t>P3-7</t>
  </si>
  <si>
    <t>P3-8</t>
  </si>
  <si>
    <t>P3-9</t>
  </si>
  <si>
    <t>P3-10</t>
  </si>
  <si>
    <t>P4-1</t>
  </si>
  <si>
    <t>P4-2</t>
  </si>
  <si>
    <t>P4-3</t>
  </si>
  <si>
    <t>P4-4</t>
  </si>
  <si>
    <t>P4-5</t>
  </si>
  <si>
    <t>P4-6</t>
  </si>
  <si>
    <t>P4-7</t>
  </si>
  <si>
    <t>P4-8</t>
  </si>
  <si>
    <t>P4-9</t>
  </si>
  <si>
    <t>P4-10</t>
  </si>
  <si>
    <t>P5-1</t>
  </si>
  <si>
    <t>P5-2</t>
  </si>
  <si>
    <t>P5-3</t>
  </si>
  <si>
    <t>P5-4</t>
  </si>
  <si>
    <t>P5-5</t>
  </si>
  <si>
    <t>P5-6</t>
  </si>
  <si>
    <t>P5-7</t>
  </si>
  <si>
    <t>P5-8</t>
  </si>
  <si>
    <t>P5-9</t>
  </si>
  <si>
    <t>P5-10</t>
  </si>
  <si>
    <t>M1-1</t>
  </si>
  <si>
    <t>M1-2</t>
  </si>
  <si>
    <t>M1-3</t>
  </si>
  <si>
    <t>M1-4</t>
  </si>
  <si>
    <t>M1-5</t>
  </si>
  <si>
    <t>M1-6</t>
  </si>
  <si>
    <t>M1-7</t>
  </si>
  <si>
    <t>M1-8</t>
  </si>
  <si>
    <t>M1-9</t>
  </si>
  <si>
    <t>M1-10</t>
  </si>
  <si>
    <t>M2-1</t>
  </si>
  <si>
    <t>M2-2</t>
  </si>
  <si>
    <t>M2-3</t>
  </si>
  <si>
    <t>M2-4</t>
  </si>
  <si>
    <t>M2-5</t>
  </si>
  <si>
    <t>M2-6</t>
  </si>
  <si>
    <t>M2-7</t>
  </si>
  <si>
    <t>M2-8</t>
  </si>
  <si>
    <t>M2-9</t>
  </si>
  <si>
    <t>M2-10</t>
  </si>
  <si>
    <t>M3-1</t>
  </si>
  <si>
    <t>M3-2</t>
  </si>
  <si>
    <t>M3-3</t>
  </si>
  <si>
    <t>M3-4</t>
  </si>
  <si>
    <t>M3-5</t>
  </si>
  <si>
    <t>M3-6</t>
  </si>
  <si>
    <t>M3-7</t>
  </si>
  <si>
    <t>M3-8</t>
  </si>
  <si>
    <t>M3-9</t>
  </si>
  <si>
    <t>M3-10</t>
  </si>
  <si>
    <t>M4-1</t>
  </si>
  <si>
    <t>M4-2</t>
  </si>
  <si>
    <t>M4-3</t>
  </si>
  <si>
    <t>M4-4</t>
  </si>
  <si>
    <t>M4-5</t>
  </si>
  <si>
    <t>M4-6</t>
  </si>
  <si>
    <t>M4-7</t>
  </si>
  <si>
    <t>M4-8</t>
  </si>
  <si>
    <t>M4-9</t>
  </si>
  <si>
    <t>M4-10</t>
  </si>
  <si>
    <t>M5-1</t>
  </si>
  <si>
    <t>M5-2</t>
  </si>
  <si>
    <t>M5-3</t>
  </si>
  <si>
    <t>M5-4</t>
  </si>
  <si>
    <t>M5-5</t>
  </si>
  <si>
    <t>M5-6</t>
  </si>
  <si>
    <t>M5-7</t>
  </si>
  <si>
    <t>M5-8</t>
  </si>
  <si>
    <t>M5-9</t>
  </si>
  <si>
    <t>M5-10</t>
  </si>
  <si>
    <r>
      <rPr>
        <b/>
        <sz val="9"/>
        <rFont val="宋体"/>
        <charset val="134"/>
      </rPr>
      <t>职系</t>
    </r>
    <r>
      <rPr>
        <b/>
        <sz val="9"/>
        <rFont val="Arial"/>
        <charset val="134"/>
      </rPr>
      <t>B.</t>
    </r>
    <r>
      <rPr>
        <b/>
        <sz val="9"/>
        <rFont val="宋体"/>
        <charset val="134"/>
      </rPr>
      <t>营销职系（含业务、商务、跟单、技术支持）职员岗级工资标准表</t>
    </r>
  </si>
  <si>
    <t>职级</t>
  </si>
  <si>
    <t>岗位</t>
  </si>
  <si>
    <t>岗级工资薪点</t>
  </si>
  <si>
    <r>
      <rPr>
        <b/>
        <sz val="9"/>
        <rFont val="宋体"/>
        <charset val="134"/>
      </rPr>
      <t>岗级</t>
    </r>
    <r>
      <rPr>
        <b/>
        <sz val="9"/>
        <rFont val="Arial"/>
        <charset val="134"/>
      </rPr>
      <t>+</t>
    </r>
    <r>
      <rPr>
        <b/>
        <sz val="9"/>
        <rFont val="宋体"/>
        <charset val="134"/>
      </rPr>
      <t>绩效</t>
    </r>
  </si>
  <si>
    <t>补助</t>
  </si>
  <si>
    <t>总薪资</t>
  </si>
  <si>
    <t>总薪</t>
  </si>
  <si>
    <t>业务</t>
  </si>
  <si>
    <r>
      <rPr>
        <b/>
        <sz val="9"/>
        <rFont val="宋体"/>
        <charset val="134"/>
      </rPr>
      <t>商务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跟单</t>
    </r>
  </si>
  <si>
    <t>技术支持</t>
  </si>
  <si>
    <r>
      <rPr>
        <b/>
        <sz val="9"/>
        <rFont val="Arial"/>
        <charset val="134"/>
      </rPr>
      <t>1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</si>
  <si>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2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</si>
  <si>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3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</si>
  <si>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4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</si>
  <si>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5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</si>
  <si>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6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</si>
  <si>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7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</si>
  <si>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8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</si>
  <si>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9</t>
    </r>
    <r>
      <rPr>
        <b/>
        <sz val="9"/>
        <rFont val="宋体"/>
        <charset val="134"/>
      </rPr>
      <t>档</t>
    </r>
  </si>
  <si>
    <r>
      <rPr>
        <b/>
        <sz val="9"/>
        <rFont val="Arial"/>
        <charset val="134"/>
      </rPr>
      <t>10</t>
    </r>
    <r>
      <rPr>
        <b/>
        <sz val="9"/>
        <rFont val="宋体"/>
        <charset val="134"/>
      </rPr>
      <t>档</t>
    </r>
  </si>
  <si>
    <t>房补</t>
  </si>
  <si>
    <t>餐补</t>
  </si>
  <si>
    <t>最高</t>
  </si>
  <si>
    <t>最低</t>
  </si>
  <si>
    <t>级差</t>
  </si>
  <si>
    <t>B1</t>
  </si>
  <si>
    <t>销售内勤</t>
  </si>
  <si>
    <r>
      <rPr>
        <sz val="9"/>
        <rFont val="宋体"/>
        <charset val="134"/>
      </rPr>
      <t>商务</t>
    </r>
    <r>
      <rPr>
        <sz val="9"/>
        <rFont val="Arial"/>
        <charset val="134"/>
      </rPr>
      <t>/</t>
    </r>
    <r>
      <rPr>
        <sz val="9"/>
        <rFont val="宋体"/>
        <charset val="134"/>
      </rPr>
      <t>跟单助理</t>
    </r>
  </si>
  <si>
    <t>助理技术支持工程师</t>
  </si>
  <si>
    <t>B2</t>
  </si>
  <si>
    <t>销售经理</t>
  </si>
  <si>
    <r>
      <rPr>
        <sz val="9"/>
        <rFont val="宋体"/>
        <charset val="134"/>
      </rPr>
      <t>商务</t>
    </r>
    <r>
      <rPr>
        <sz val="9"/>
        <rFont val="Arial"/>
        <charset val="134"/>
      </rPr>
      <t>/</t>
    </r>
    <r>
      <rPr>
        <sz val="9"/>
        <rFont val="宋体"/>
        <charset val="134"/>
      </rPr>
      <t>跟单专员</t>
    </r>
  </si>
  <si>
    <t>技术支持工程师</t>
  </si>
  <si>
    <t>B3</t>
  </si>
  <si>
    <t>国家代表</t>
  </si>
  <si>
    <r>
      <rPr>
        <sz val="9"/>
        <rFont val="宋体"/>
        <charset val="134"/>
      </rPr>
      <t>商务</t>
    </r>
    <r>
      <rPr>
        <sz val="9"/>
        <rFont val="Arial"/>
        <charset val="134"/>
      </rPr>
      <t>/</t>
    </r>
    <r>
      <rPr>
        <sz val="9"/>
        <rFont val="宋体"/>
        <charset val="134"/>
      </rPr>
      <t>跟单经理</t>
    </r>
  </si>
  <si>
    <t>高级技术支持工程师</t>
  </si>
  <si>
    <t>B4</t>
  </si>
  <si>
    <t>区域经理</t>
  </si>
  <si>
    <r>
      <rPr>
        <sz val="9"/>
        <rFont val="宋体"/>
        <charset val="134"/>
      </rPr>
      <t>高级商务</t>
    </r>
    <r>
      <rPr>
        <sz val="9"/>
        <rFont val="Arial"/>
        <charset val="134"/>
      </rPr>
      <t>/</t>
    </r>
    <r>
      <rPr>
        <sz val="9"/>
        <rFont val="宋体"/>
        <charset val="134"/>
      </rPr>
      <t>跟单经理</t>
    </r>
  </si>
  <si>
    <r>
      <rPr>
        <sz val="9"/>
        <rFont val="宋体"/>
        <charset val="134"/>
      </rPr>
      <t>产品经理</t>
    </r>
    <r>
      <rPr>
        <sz val="9"/>
        <rFont val="Arial"/>
        <charset val="134"/>
      </rPr>
      <t>/</t>
    </r>
    <r>
      <rPr>
        <sz val="9"/>
        <rFont val="宋体"/>
        <charset val="134"/>
      </rPr>
      <t>项目经理</t>
    </r>
  </si>
  <si>
    <t>B5</t>
  </si>
  <si>
    <r>
      <rPr>
        <sz val="9"/>
        <rFont val="宋体"/>
        <charset val="134"/>
      </rPr>
      <t>部门经理</t>
    </r>
    <r>
      <rPr>
        <sz val="9"/>
        <rFont val="Arial"/>
        <charset val="134"/>
      </rPr>
      <t>/</t>
    </r>
    <r>
      <rPr>
        <sz val="9"/>
        <rFont val="宋体"/>
        <charset val="134"/>
      </rPr>
      <t>区域总监</t>
    </r>
  </si>
  <si>
    <t>部门经理</t>
  </si>
  <si>
    <r>
      <rPr>
        <sz val="9"/>
        <rFont val="宋体"/>
        <charset val="134"/>
      </rPr>
      <t>部门经理</t>
    </r>
    <r>
      <rPr>
        <sz val="9"/>
        <rFont val="Arial"/>
        <charset val="134"/>
      </rPr>
      <t>/</t>
    </r>
    <r>
      <rPr>
        <sz val="9"/>
        <rFont val="宋体"/>
        <charset val="134"/>
      </rPr>
      <t>产品总监</t>
    </r>
    <r>
      <rPr>
        <sz val="9"/>
        <rFont val="Arial"/>
        <charset val="134"/>
      </rPr>
      <t>/</t>
    </r>
    <r>
      <rPr>
        <sz val="9"/>
        <rFont val="宋体"/>
        <charset val="134"/>
      </rPr>
      <t>解决方案专家</t>
    </r>
  </si>
  <si>
    <r>
      <rPr>
        <b/>
        <sz val="9"/>
        <rFont val="宋体"/>
        <charset val="134"/>
      </rPr>
      <t>职系</t>
    </r>
    <r>
      <rPr>
        <b/>
        <sz val="9"/>
        <rFont val="Arial"/>
        <charset val="134"/>
      </rPr>
      <t>R.</t>
    </r>
    <r>
      <rPr>
        <b/>
        <sz val="9"/>
        <rFont val="宋体"/>
        <charset val="134"/>
      </rPr>
      <t>研发职系职员岗级工资标准表</t>
    </r>
  </si>
  <si>
    <r>
      <rPr>
        <b/>
        <sz val="9"/>
        <rFont val="宋体"/>
        <charset val="134"/>
      </rPr>
      <t>岗</t>
    </r>
    <r>
      <rPr>
        <b/>
        <sz val="9"/>
        <rFont val="Arial"/>
        <charset val="134"/>
      </rPr>
      <t xml:space="preserve">  </t>
    </r>
    <r>
      <rPr>
        <b/>
        <sz val="9"/>
        <rFont val="宋体"/>
        <charset val="134"/>
      </rPr>
      <t>位</t>
    </r>
  </si>
  <si>
    <t>R1</t>
  </si>
  <si>
    <r>
      <rPr>
        <sz val="9"/>
        <rFont val="宋体"/>
        <charset val="134"/>
      </rPr>
      <t>助理工程师</t>
    </r>
    <r>
      <rPr>
        <sz val="9"/>
        <rFont val="Arial"/>
        <charset val="134"/>
      </rPr>
      <t>I</t>
    </r>
  </si>
  <si>
    <t>R2</t>
  </si>
  <si>
    <r>
      <rPr>
        <sz val="9"/>
        <rFont val="宋体"/>
        <charset val="134"/>
      </rPr>
      <t>助理工程师</t>
    </r>
    <r>
      <rPr>
        <sz val="9"/>
        <rFont val="Arial"/>
        <charset val="134"/>
      </rPr>
      <t>II</t>
    </r>
  </si>
  <si>
    <t>R3</t>
  </si>
  <si>
    <r>
      <rPr>
        <sz val="9"/>
        <rFont val="宋体"/>
        <charset val="134"/>
      </rPr>
      <t>工程师</t>
    </r>
    <r>
      <rPr>
        <sz val="9"/>
        <rFont val="Arial"/>
        <charset val="134"/>
      </rPr>
      <t>I</t>
    </r>
  </si>
  <si>
    <t>R4</t>
  </si>
  <si>
    <r>
      <rPr>
        <sz val="9"/>
        <rFont val="宋体"/>
        <charset val="134"/>
      </rPr>
      <t>工程师</t>
    </r>
    <r>
      <rPr>
        <sz val="9"/>
        <rFont val="Arial"/>
        <charset val="134"/>
      </rPr>
      <t>II</t>
    </r>
  </si>
  <si>
    <t>R5</t>
  </si>
  <si>
    <t>高级工程师</t>
  </si>
  <si>
    <t>R6</t>
  </si>
  <si>
    <r>
      <rPr>
        <sz val="9"/>
        <rFont val="宋体"/>
        <charset val="134"/>
      </rPr>
      <t>部门经理</t>
    </r>
    <r>
      <rPr>
        <sz val="9"/>
        <rFont val="Arial"/>
        <charset val="134"/>
      </rPr>
      <t>/</t>
    </r>
    <r>
      <rPr>
        <sz val="9"/>
        <rFont val="宋体"/>
        <charset val="134"/>
      </rPr>
      <t>项目经理</t>
    </r>
    <r>
      <rPr>
        <sz val="9"/>
        <rFont val="Arial"/>
        <charset val="134"/>
      </rPr>
      <t>/</t>
    </r>
    <r>
      <rPr>
        <sz val="9"/>
        <rFont val="宋体"/>
        <charset val="134"/>
      </rPr>
      <t>技术专家</t>
    </r>
  </si>
  <si>
    <r>
      <rPr>
        <b/>
        <sz val="9"/>
        <rFont val="宋体"/>
        <charset val="134"/>
      </rPr>
      <t>职系</t>
    </r>
    <r>
      <rPr>
        <b/>
        <sz val="9"/>
        <rFont val="Arial"/>
        <charset val="134"/>
      </rPr>
      <t>P.</t>
    </r>
    <r>
      <rPr>
        <b/>
        <sz val="9"/>
        <rFont val="宋体"/>
        <charset val="134"/>
      </rPr>
      <t>制造职系职员岗级工资标准表</t>
    </r>
  </si>
  <si>
    <t>P1</t>
  </si>
  <si>
    <r>
      <rPr>
        <sz val="9"/>
        <rFont val="宋体"/>
        <charset val="134"/>
      </rPr>
      <t>技术员</t>
    </r>
    <r>
      <rPr>
        <sz val="9"/>
        <rFont val="Arial"/>
        <charset val="134"/>
      </rPr>
      <t>/</t>
    </r>
    <r>
      <rPr>
        <sz val="9"/>
        <rFont val="宋体"/>
        <charset val="134"/>
      </rPr>
      <t>统计员</t>
    </r>
    <r>
      <rPr>
        <sz val="9"/>
        <rFont val="Arial"/>
        <charset val="134"/>
      </rPr>
      <t>/</t>
    </r>
    <r>
      <rPr>
        <sz val="9"/>
        <rFont val="宋体"/>
        <charset val="134"/>
      </rPr>
      <t>文员</t>
    </r>
  </si>
  <si>
    <t>P2</t>
  </si>
  <si>
    <t>助理工程师</t>
  </si>
  <si>
    <t>P3</t>
  </si>
  <si>
    <t>工程师</t>
  </si>
  <si>
    <t>P4</t>
  </si>
  <si>
    <t>P5</t>
  </si>
  <si>
    <r>
      <rPr>
        <b/>
        <sz val="9"/>
        <rFont val="宋体"/>
        <charset val="134"/>
      </rPr>
      <t>职系</t>
    </r>
    <r>
      <rPr>
        <b/>
        <sz val="9"/>
        <rFont val="Arial"/>
        <charset val="134"/>
      </rPr>
      <t>M.</t>
    </r>
    <r>
      <rPr>
        <b/>
        <sz val="9"/>
        <rFont val="宋体"/>
        <charset val="134"/>
      </rPr>
      <t>管理职系（含财务、采购、行政人事、项目融资与风险控制、市场研究与策划等）职员岗级工资标准表</t>
    </r>
  </si>
  <si>
    <t>财务</t>
  </si>
  <si>
    <r>
      <rPr>
        <b/>
        <sz val="9"/>
        <rFont val="宋体"/>
        <charset val="134"/>
      </rPr>
      <t>采购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行政人事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风控</t>
    </r>
  </si>
  <si>
    <t>策划</t>
  </si>
  <si>
    <t>M1</t>
  </si>
  <si>
    <t>出纳</t>
  </si>
  <si>
    <r>
      <rPr>
        <sz val="9"/>
        <rFont val="宋体"/>
        <charset val="134"/>
      </rPr>
      <t>前台</t>
    </r>
    <r>
      <rPr>
        <sz val="9"/>
        <rFont val="Arial"/>
        <charset val="134"/>
      </rPr>
      <t>/</t>
    </r>
    <r>
      <rPr>
        <sz val="9"/>
        <rFont val="宋体"/>
        <charset val="134"/>
      </rPr>
      <t>司机</t>
    </r>
    <r>
      <rPr>
        <sz val="9"/>
        <rFont val="Arial"/>
        <charset val="134"/>
      </rPr>
      <t>/</t>
    </r>
    <r>
      <rPr>
        <sz val="9"/>
        <rFont val="宋体"/>
        <charset val="134"/>
      </rPr>
      <t>保安</t>
    </r>
  </si>
  <si>
    <t>秘书</t>
  </si>
  <si>
    <t>M2</t>
  </si>
  <si>
    <t>会计助理</t>
  </si>
  <si>
    <r>
      <rPr>
        <sz val="9"/>
        <rFont val="宋体"/>
        <charset val="134"/>
      </rPr>
      <t>助理工程师</t>
    </r>
    <r>
      <rPr>
        <sz val="9"/>
        <rFont val="Arial"/>
        <charset val="134"/>
      </rPr>
      <t>/</t>
    </r>
    <r>
      <rPr>
        <sz val="9"/>
        <rFont val="宋体"/>
        <charset val="134"/>
      </rPr>
      <t>助理</t>
    </r>
  </si>
  <si>
    <r>
      <rPr>
        <sz val="9"/>
        <rFont val="宋体"/>
        <charset val="134"/>
      </rPr>
      <t>助理文案专员</t>
    </r>
    <r>
      <rPr>
        <sz val="9"/>
        <rFont val="Arial"/>
        <charset val="134"/>
      </rPr>
      <t>/</t>
    </r>
    <r>
      <rPr>
        <sz val="9"/>
        <rFont val="宋体"/>
        <charset val="134"/>
      </rPr>
      <t>助理工程师</t>
    </r>
  </si>
  <si>
    <t>M3</t>
  </si>
  <si>
    <t>会计师</t>
  </si>
  <si>
    <r>
      <rPr>
        <sz val="9"/>
        <rFont val="宋体"/>
        <charset val="134"/>
      </rPr>
      <t>工程师</t>
    </r>
    <r>
      <rPr>
        <sz val="9"/>
        <rFont val="Arial"/>
        <charset val="134"/>
      </rPr>
      <t>/</t>
    </r>
    <r>
      <rPr>
        <sz val="9"/>
        <rFont val="宋体"/>
        <charset val="134"/>
      </rPr>
      <t>专员</t>
    </r>
    <r>
      <rPr>
        <sz val="9"/>
        <rFont val="Arial"/>
        <charset val="134"/>
      </rPr>
      <t>/</t>
    </r>
    <r>
      <rPr>
        <sz val="9"/>
        <rFont val="宋体"/>
        <charset val="134"/>
      </rPr>
      <t>律师</t>
    </r>
  </si>
  <si>
    <r>
      <rPr>
        <sz val="9"/>
        <rFont val="宋体"/>
        <charset val="134"/>
      </rPr>
      <t>文案专员</t>
    </r>
    <r>
      <rPr>
        <sz val="9"/>
        <rFont val="Arial"/>
        <charset val="134"/>
      </rPr>
      <t>/</t>
    </r>
    <r>
      <rPr>
        <sz val="9"/>
        <rFont val="宋体"/>
        <charset val="134"/>
      </rPr>
      <t>工程师</t>
    </r>
  </si>
  <si>
    <t>M4</t>
  </si>
  <si>
    <t>高级会计师</t>
  </si>
  <si>
    <r>
      <rPr>
        <sz val="9"/>
        <rFont val="宋体"/>
        <charset val="134"/>
      </rPr>
      <t>高级工程师</t>
    </r>
    <r>
      <rPr>
        <sz val="9"/>
        <rFont val="Arial"/>
        <charset val="134"/>
      </rPr>
      <t>/</t>
    </r>
    <r>
      <rPr>
        <sz val="9"/>
        <rFont val="宋体"/>
        <charset val="134"/>
      </rPr>
      <t>高级专员</t>
    </r>
    <r>
      <rPr>
        <sz val="9"/>
        <rFont val="Arial"/>
        <charset val="134"/>
      </rPr>
      <t>/</t>
    </r>
    <r>
      <rPr>
        <sz val="9"/>
        <rFont val="宋体"/>
        <charset val="134"/>
      </rPr>
      <t>高级律师</t>
    </r>
  </si>
  <si>
    <r>
      <rPr>
        <sz val="9"/>
        <rFont val="宋体"/>
        <charset val="134"/>
      </rPr>
      <t>高级文案专员</t>
    </r>
    <r>
      <rPr>
        <sz val="9"/>
        <rFont val="Arial"/>
        <charset val="134"/>
      </rPr>
      <t>/</t>
    </r>
    <r>
      <rPr>
        <sz val="9"/>
        <rFont val="宋体"/>
        <charset val="134"/>
      </rPr>
      <t>高级策划工程师</t>
    </r>
  </si>
  <si>
    <t>M5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</si>
</sst>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9"/>
      <name val="Arial"/>
      <charset val="134"/>
    </font>
    <font>
      <b/>
      <sz val="9"/>
      <name val="宋体"/>
      <charset val="134"/>
    </font>
    <font>
      <b/>
      <sz val="9"/>
      <name val="Arial"/>
      <charset val="134"/>
    </font>
    <font>
      <sz val="9"/>
      <name val="宋体"/>
      <charset val="134"/>
    </font>
    <font>
      <b/>
      <sz val="9"/>
      <color theme="1"/>
      <name val="宋体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4" borderId="10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25" fillId="33" borderId="9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2"/>
  <sheetViews>
    <sheetView tabSelected="1" workbookViewId="0">
      <selection activeCell="B2" sqref="B2"/>
    </sheetView>
  </sheetViews>
  <sheetFormatPr defaultColWidth="9" defaultRowHeight="13.5" outlineLevelCol="5"/>
  <cols>
    <col min="6" max="6" width="11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>
        <v>4800</v>
      </c>
      <c r="C3">
        <v>4800</v>
      </c>
      <c r="D3" s="14">
        <v>900</v>
      </c>
      <c r="E3" s="14">
        <v>300</v>
      </c>
      <c r="F3" t="s">
        <v>13</v>
      </c>
    </row>
    <row r="4" spans="1:6">
      <c r="A4" t="s">
        <v>14</v>
      </c>
      <c r="B4">
        <v>5160</v>
      </c>
      <c r="C4">
        <v>5160</v>
      </c>
      <c r="D4" s="14">
        <v>900</v>
      </c>
      <c r="E4" s="14">
        <v>300</v>
      </c>
      <c r="F4" t="s">
        <v>13</v>
      </c>
    </row>
    <row r="5" spans="1:6">
      <c r="A5" t="s">
        <v>15</v>
      </c>
      <c r="B5">
        <v>5520</v>
      </c>
      <c r="C5">
        <v>5520</v>
      </c>
      <c r="D5" s="14">
        <v>900</v>
      </c>
      <c r="E5" s="14">
        <v>300</v>
      </c>
      <c r="F5" t="s">
        <v>13</v>
      </c>
    </row>
    <row r="6" spans="1:6">
      <c r="A6" t="s">
        <v>16</v>
      </c>
      <c r="B6">
        <v>5880</v>
      </c>
      <c r="C6">
        <v>5880</v>
      </c>
      <c r="D6" s="14">
        <v>900</v>
      </c>
      <c r="E6" s="14">
        <v>300</v>
      </c>
      <c r="F6" t="s">
        <v>13</v>
      </c>
    </row>
    <row r="7" spans="1:6">
      <c r="A7" t="s">
        <v>17</v>
      </c>
      <c r="B7">
        <v>6240</v>
      </c>
      <c r="C7">
        <v>6240</v>
      </c>
      <c r="D7" s="14">
        <v>900</v>
      </c>
      <c r="E7" s="14">
        <v>300</v>
      </c>
      <c r="F7" t="s">
        <v>13</v>
      </c>
    </row>
    <row r="8" spans="1:6">
      <c r="A8" t="s">
        <v>18</v>
      </c>
      <c r="B8">
        <v>6600</v>
      </c>
      <c r="C8">
        <v>6600</v>
      </c>
      <c r="D8" s="14">
        <v>900</v>
      </c>
      <c r="E8" s="14">
        <v>300</v>
      </c>
      <c r="F8" t="s">
        <v>13</v>
      </c>
    </row>
    <row r="9" spans="1:6">
      <c r="A9" t="s">
        <v>19</v>
      </c>
      <c r="B9">
        <v>6960</v>
      </c>
      <c r="C9">
        <v>6960</v>
      </c>
      <c r="D9" s="14">
        <v>900</v>
      </c>
      <c r="E9" s="14">
        <v>300</v>
      </c>
      <c r="F9" t="s">
        <v>13</v>
      </c>
    </row>
    <row r="10" spans="1:6">
      <c r="A10" t="s">
        <v>20</v>
      </c>
      <c r="B10">
        <v>7320</v>
      </c>
      <c r="C10">
        <v>7320</v>
      </c>
      <c r="D10" s="14">
        <v>900</v>
      </c>
      <c r="E10" s="14">
        <v>300</v>
      </c>
      <c r="F10" t="s">
        <v>13</v>
      </c>
    </row>
    <row r="11" spans="1:6">
      <c r="A11" t="s">
        <v>21</v>
      </c>
      <c r="B11">
        <v>7680</v>
      </c>
      <c r="C11">
        <v>7680</v>
      </c>
      <c r="D11" s="14">
        <v>900</v>
      </c>
      <c r="E11" s="14">
        <v>300</v>
      </c>
      <c r="F11" t="s">
        <v>13</v>
      </c>
    </row>
    <row r="12" spans="1:6">
      <c r="A12" t="s">
        <v>22</v>
      </c>
      <c r="B12">
        <v>8040</v>
      </c>
      <c r="C12">
        <v>8040</v>
      </c>
      <c r="D12" s="14">
        <v>900</v>
      </c>
      <c r="E12" s="14">
        <v>300</v>
      </c>
      <c r="F12" t="s">
        <v>13</v>
      </c>
    </row>
    <row r="13" spans="1:6">
      <c r="A13" t="s">
        <v>23</v>
      </c>
      <c r="B13">
        <v>6160</v>
      </c>
      <c r="C13">
        <v>6160</v>
      </c>
      <c r="D13" s="14">
        <v>900</v>
      </c>
      <c r="E13" s="14">
        <v>300</v>
      </c>
      <c r="F13" t="s">
        <v>13</v>
      </c>
    </row>
    <row r="14" spans="1:6">
      <c r="A14" t="s">
        <v>24</v>
      </c>
      <c r="B14">
        <v>6580</v>
      </c>
      <c r="C14">
        <v>6580</v>
      </c>
      <c r="D14" s="14">
        <v>900</v>
      </c>
      <c r="E14" s="14">
        <v>300</v>
      </c>
      <c r="F14" t="s">
        <v>13</v>
      </c>
    </row>
    <row r="15" spans="1:6">
      <c r="A15" t="s">
        <v>25</v>
      </c>
      <c r="B15">
        <v>7000</v>
      </c>
      <c r="C15">
        <v>7000</v>
      </c>
      <c r="D15" s="14">
        <v>900</v>
      </c>
      <c r="E15" s="14">
        <v>300</v>
      </c>
      <c r="F15" t="s">
        <v>13</v>
      </c>
    </row>
    <row r="16" spans="1:6">
      <c r="A16" t="s">
        <v>26</v>
      </c>
      <c r="B16">
        <v>7420</v>
      </c>
      <c r="C16">
        <v>7420</v>
      </c>
      <c r="D16" s="14">
        <v>900</v>
      </c>
      <c r="E16" s="14">
        <v>300</v>
      </c>
      <c r="F16" t="s">
        <v>13</v>
      </c>
    </row>
    <row r="17" spans="1:6">
      <c r="A17" t="s">
        <v>27</v>
      </c>
      <c r="B17">
        <v>7840</v>
      </c>
      <c r="C17">
        <v>7840</v>
      </c>
      <c r="D17" s="14">
        <v>900</v>
      </c>
      <c r="E17" s="14">
        <v>300</v>
      </c>
      <c r="F17" t="s">
        <v>13</v>
      </c>
    </row>
    <row r="18" spans="1:6">
      <c r="A18" t="s">
        <v>28</v>
      </c>
      <c r="B18">
        <v>8260</v>
      </c>
      <c r="C18">
        <v>8260</v>
      </c>
      <c r="D18" s="14">
        <v>900</v>
      </c>
      <c r="E18" s="14">
        <v>300</v>
      </c>
      <c r="F18" t="s">
        <v>13</v>
      </c>
    </row>
    <row r="19" spans="1:6">
      <c r="A19" t="s">
        <v>29</v>
      </c>
      <c r="B19">
        <v>8680</v>
      </c>
      <c r="C19">
        <v>8680</v>
      </c>
      <c r="D19" s="14">
        <v>900</v>
      </c>
      <c r="E19" s="14">
        <v>300</v>
      </c>
      <c r="F19" t="s">
        <v>13</v>
      </c>
    </row>
    <row r="20" spans="1:6">
      <c r="A20" t="s">
        <v>30</v>
      </c>
      <c r="B20">
        <v>9100</v>
      </c>
      <c r="C20">
        <v>9100</v>
      </c>
      <c r="D20" s="14">
        <v>900</v>
      </c>
      <c r="E20" s="14">
        <v>300</v>
      </c>
      <c r="F20" t="s">
        <v>13</v>
      </c>
    </row>
    <row r="21" spans="1:6">
      <c r="A21" t="s">
        <v>31</v>
      </c>
      <c r="B21">
        <v>9520</v>
      </c>
      <c r="C21">
        <v>9520</v>
      </c>
      <c r="D21" s="14">
        <v>900</v>
      </c>
      <c r="E21" s="14">
        <v>300</v>
      </c>
      <c r="F21" t="s">
        <v>13</v>
      </c>
    </row>
    <row r="22" spans="1:6">
      <c r="A22" t="s">
        <v>32</v>
      </c>
      <c r="B22">
        <v>9940</v>
      </c>
      <c r="C22">
        <v>9940</v>
      </c>
      <c r="D22" s="14">
        <v>900</v>
      </c>
      <c r="E22" s="14">
        <v>300</v>
      </c>
      <c r="F22" t="s">
        <v>13</v>
      </c>
    </row>
    <row r="23" spans="1:6">
      <c r="A23" t="s">
        <v>33</v>
      </c>
      <c r="B23">
        <v>8800</v>
      </c>
      <c r="C23">
        <v>8800</v>
      </c>
      <c r="D23" s="14">
        <v>1200</v>
      </c>
      <c r="E23" s="14">
        <v>300</v>
      </c>
      <c r="F23" t="s">
        <v>13</v>
      </c>
    </row>
    <row r="24" spans="1:6">
      <c r="A24" t="s">
        <v>34</v>
      </c>
      <c r="B24">
        <v>9600</v>
      </c>
      <c r="C24">
        <v>9600</v>
      </c>
      <c r="D24" s="14">
        <v>1200</v>
      </c>
      <c r="E24" s="14">
        <v>300</v>
      </c>
      <c r="F24" t="s">
        <v>13</v>
      </c>
    </row>
    <row r="25" spans="1:6">
      <c r="A25" t="s">
        <v>35</v>
      </c>
      <c r="B25">
        <v>10400</v>
      </c>
      <c r="C25">
        <v>10400</v>
      </c>
      <c r="D25" s="14">
        <v>1200</v>
      </c>
      <c r="E25" s="14">
        <v>300</v>
      </c>
      <c r="F25" t="s">
        <v>13</v>
      </c>
    </row>
    <row r="26" spans="1:6">
      <c r="A26" t="s">
        <v>36</v>
      </c>
      <c r="B26">
        <v>11200</v>
      </c>
      <c r="C26">
        <v>11200</v>
      </c>
      <c r="D26" s="14">
        <v>1200</v>
      </c>
      <c r="E26" s="14">
        <v>300</v>
      </c>
      <c r="F26" t="s">
        <v>13</v>
      </c>
    </row>
    <row r="27" spans="1:6">
      <c r="A27" t="s">
        <v>37</v>
      </c>
      <c r="B27">
        <v>12000</v>
      </c>
      <c r="C27">
        <v>12000</v>
      </c>
      <c r="D27" s="14">
        <v>1200</v>
      </c>
      <c r="E27" s="14">
        <v>300</v>
      </c>
      <c r="F27" t="s">
        <v>13</v>
      </c>
    </row>
    <row r="28" spans="1:6">
      <c r="A28" t="s">
        <v>38</v>
      </c>
      <c r="B28">
        <v>12800</v>
      </c>
      <c r="C28">
        <v>12800</v>
      </c>
      <c r="D28" s="14">
        <v>1200</v>
      </c>
      <c r="E28" s="14">
        <v>300</v>
      </c>
      <c r="F28" t="s">
        <v>13</v>
      </c>
    </row>
    <row r="29" spans="1:6">
      <c r="A29" t="s">
        <v>39</v>
      </c>
      <c r="B29">
        <v>13600</v>
      </c>
      <c r="C29">
        <v>13600</v>
      </c>
      <c r="D29" s="14">
        <v>1200</v>
      </c>
      <c r="E29" s="14">
        <v>300</v>
      </c>
      <c r="F29" t="s">
        <v>13</v>
      </c>
    </row>
    <row r="30" spans="1:6">
      <c r="A30" t="s">
        <v>40</v>
      </c>
      <c r="B30">
        <v>14400</v>
      </c>
      <c r="C30">
        <v>14400</v>
      </c>
      <c r="D30" s="14">
        <v>1200</v>
      </c>
      <c r="E30" s="14">
        <v>300</v>
      </c>
      <c r="F30" t="s">
        <v>13</v>
      </c>
    </row>
    <row r="31" spans="1:6">
      <c r="A31" t="s">
        <v>41</v>
      </c>
      <c r="B31">
        <v>15200</v>
      </c>
      <c r="C31">
        <v>15200</v>
      </c>
      <c r="D31" s="14">
        <v>1200</v>
      </c>
      <c r="E31" s="14">
        <v>300</v>
      </c>
      <c r="F31" t="s">
        <v>13</v>
      </c>
    </row>
    <row r="32" spans="1:6">
      <c r="A32" t="s">
        <v>42</v>
      </c>
      <c r="B32">
        <v>16000</v>
      </c>
      <c r="C32">
        <v>16000</v>
      </c>
      <c r="D32" s="14">
        <v>1200</v>
      </c>
      <c r="E32" s="14">
        <v>300</v>
      </c>
      <c r="F32" t="s">
        <v>13</v>
      </c>
    </row>
    <row r="33" spans="1:6">
      <c r="A33" t="s">
        <v>43</v>
      </c>
      <c r="B33">
        <v>12880</v>
      </c>
      <c r="C33">
        <v>12880</v>
      </c>
      <c r="D33" s="14">
        <v>1200</v>
      </c>
      <c r="E33" s="14">
        <v>300</v>
      </c>
      <c r="F33" t="s">
        <v>13</v>
      </c>
    </row>
    <row r="34" spans="1:6">
      <c r="A34" t="s">
        <v>44</v>
      </c>
      <c r="B34">
        <v>14000</v>
      </c>
      <c r="C34">
        <v>14000</v>
      </c>
      <c r="D34" s="14">
        <v>1200</v>
      </c>
      <c r="E34" s="14">
        <v>300</v>
      </c>
      <c r="F34" t="s">
        <v>13</v>
      </c>
    </row>
    <row r="35" spans="1:6">
      <c r="A35" t="s">
        <v>45</v>
      </c>
      <c r="B35">
        <v>15120</v>
      </c>
      <c r="C35">
        <v>15120</v>
      </c>
      <c r="D35" s="14">
        <v>1200</v>
      </c>
      <c r="E35" s="14">
        <v>300</v>
      </c>
      <c r="F35" t="s">
        <v>13</v>
      </c>
    </row>
    <row r="36" spans="1:6">
      <c r="A36" t="s">
        <v>46</v>
      </c>
      <c r="B36">
        <v>16240</v>
      </c>
      <c r="C36">
        <v>16240</v>
      </c>
      <c r="D36" s="14">
        <v>1200</v>
      </c>
      <c r="E36" s="14">
        <v>300</v>
      </c>
      <c r="F36" t="s">
        <v>13</v>
      </c>
    </row>
    <row r="37" spans="1:6">
      <c r="A37" t="s">
        <v>47</v>
      </c>
      <c r="B37">
        <v>17360</v>
      </c>
      <c r="C37">
        <v>17360</v>
      </c>
      <c r="D37" s="14">
        <v>1200</v>
      </c>
      <c r="E37" s="14">
        <v>300</v>
      </c>
      <c r="F37" t="s">
        <v>13</v>
      </c>
    </row>
    <row r="38" spans="1:6">
      <c r="A38" t="s">
        <v>48</v>
      </c>
      <c r="B38">
        <v>18480</v>
      </c>
      <c r="C38">
        <v>18480</v>
      </c>
      <c r="D38" s="14">
        <v>1200</v>
      </c>
      <c r="E38" s="14">
        <v>300</v>
      </c>
      <c r="F38" t="s">
        <v>13</v>
      </c>
    </row>
    <row r="39" spans="1:6">
      <c r="A39" t="s">
        <v>49</v>
      </c>
      <c r="B39">
        <v>19600</v>
      </c>
      <c r="C39">
        <v>19600</v>
      </c>
      <c r="D39" s="14">
        <v>1200</v>
      </c>
      <c r="E39" s="14">
        <v>300</v>
      </c>
      <c r="F39" t="s">
        <v>13</v>
      </c>
    </row>
    <row r="40" spans="1:6">
      <c r="A40" t="s">
        <v>50</v>
      </c>
      <c r="B40">
        <v>20720</v>
      </c>
      <c r="C40">
        <v>20720</v>
      </c>
      <c r="D40" s="14">
        <v>1200</v>
      </c>
      <c r="E40" s="14">
        <v>300</v>
      </c>
      <c r="F40" t="s">
        <v>13</v>
      </c>
    </row>
    <row r="41" spans="1:6">
      <c r="A41" t="s">
        <v>51</v>
      </c>
      <c r="B41">
        <v>21840</v>
      </c>
      <c r="C41">
        <v>21840</v>
      </c>
      <c r="D41" s="14">
        <v>1200</v>
      </c>
      <c r="E41" s="14">
        <v>300</v>
      </c>
      <c r="F41" t="s">
        <v>13</v>
      </c>
    </row>
    <row r="42" spans="1:6">
      <c r="A42" t="s">
        <v>52</v>
      </c>
      <c r="B42">
        <v>22960</v>
      </c>
      <c r="C42">
        <v>22960</v>
      </c>
      <c r="D42" s="14">
        <v>1200</v>
      </c>
      <c r="E42" s="14">
        <v>300</v>
      </c>
      <c r="F42" t="s">
        <v>13</v>
      </c>
    </row>
    <row r="43" spans="1:6">
      <c r="A43" t="s">
        <v>53</v>
      </c>
      <c r="B43">
        <v>13800</v>
      </c>
      <c r="C43">
        <v>13800</v>
      </c>
      <c r="D43" s="14">
        <v>1600</v>
      </c>
      <c r="E43" s="14">
        <v>300</v>
      </c>
      <c r="F43" t="s">
        <v>13</v>
      </c>
    </row>
    <row r="44" spans="1:6">
      <c r="A44" t="s">
        <v>54</v>
      </c>
      <c r="B44">
        <v>15300</v>
      </c>
      <c r="C44">
        <v>15300</v>
      </c>
      <c r="D44" s="14">
        <v>1600</v>
      </c>
      <c r="E44" s="14">
        <v>300</v>
      </c>
      <c r="F44" t="s">
        <v>13</v>
      </c>
    </row>
    <row r="45" spans="1:6">
      <c r="A45" t="s">
        <v>55</v>
      </c>
      <c r="B45">
        <v>16800</v>
      </c>
      <c r="C45">
        <v>16800</v>
      </c>
      <c r="D45" s="14">
        <v>1600</v>
      </c>
      <c r="E45" s="14">
        <v>300</v>
      </c>
      <c r="F45" t="s">
        <v>13</v>
      </c>
    </row>
    <row r="46" spans="1:6">
      <c r="A46" t="s">
        <v>56</v>
      </c>
      <c r="B46">
        <v>18300</v>
      </c>
      <c r="C46">
        <v>18300</v>
      </c>
      <c r="D46" s="14">
        <v>1600</v>
      </c>
      <c r="E46" s="14">
        <v>300</v>
      </c>
      <c r="F46" t="s">
        <v>13</v>
      </c>
    </row>
    <row r="47" spans="1:6">
      <c r="A47" t="s">
        <v>57</v>
      </c>
      <c r="B47">
        <v>19800</v>
      </c>
      <c r="C47">
        <v>19800</v>
      </c>
      <c r="D47" s="14">
        <v>1600</v>
      </c>
      <c r="E47" s="14">
        <v>300</v>
      </c>
      <c r="F47" t="s">
        <v>13</v>
      </c>
    </row>
    <row r="48" spans="1:6">
      <c r="A48" t="s">
        <v>58</v>
      </c>
      <c r="B48">
        <v>21300</v>
      </c>
      <c r="C48">
        <v>21300</v>
      </c>
      <c r="D48" s="14">
        <v>1600</v>
      </c>
      <c r="E48" s="14">
        <v>300</v>
      </c>
      <c r="F48" t="s">
        <v>13</v>
      </c>
    </row>
    <row r="49" spans="1:6">
      <c r="A49" t="s">
        <v>59</v>
      </c>
      <c r="B49">
        <v>22800</v>
      </c>
      <c r="C49">
        <v>22800</v>
      </c>
      <c r="D49" s="14">
        <v>1600</v>
      </c>
      <c r="E49" s="14">
        <v>300</v>
      </c>
      <c r="F49" t="s">
        <v>13</v>
      </c>
    </row>
    <row r="50" spans="1:6">
      <c r="A50" t="s">
        <v>60</v>
      </c>
      <c r="B50">
        <v>24300</v>
      </c>
      <c r="C50">
        <v>24300</v>
      </c>
      <c r="D50" s="14">
        <v>1600</v>
      </c>
      <c r="E50" s="14">
        <v>300</v>
      </c>
      <c r="F50" t="s">
        <v>13</v>
      </c>
    </row>
    <row r="51" spans="1:6">
      <c r="A51" t="s">
        <v>61</v>
      </c>
      <c r="B51">
        <v>25800</v>
      </c>
      <c r="C51">
        <v>25800</v>
      </c>
      <c r="D51" s="14">
        <v>1600</v>
      </c>
      <c r="E51" s="14">
        <v>300</v>
      </c>
      <c r="F51" t="s">
        <v>13</v>
      </c>
    </row>
    <row r="52" spans="1:6">
      <c r="A52" t="s">
        <v>62</v>
      </c>
      <c r="B52">
        <v>27300</v>
      </c>
      <c r="C52">
        <v>27300</v>
      </c>
      <c r="D52" s="14">
        <v>1600</v>
      </c>
      <c r="E52" s="14">
        <v>300</v>
      </c>
      <c r="F52" t="s">
        <v>13</v>
      </c>
    </row>
    <row r="53" spans="1:6">
      <c r="A53" t="s">
        <v>63</v>
      </c>
      <c r="B53">
        <v>4320</v>
      </c>
      <c r="C53">
        <v>4320</v>
      </c>
      <c r="D53" s="14">
        <v>900</v>
      </c>
      <c r="E53" s="14">
        <v>300</v>
      </c>
      <c r="F53" t="s">
        <v>13</v>
      </c>
    </row>
    <row r="54" spans="1:6">
      <c r="A54" t="s">
        <v>64</v>
      </c>
      <c r="B54">
        <v>4680</v>
      </c>
      <c r="C54">
        <v>4680</v>
      </c>
      <c r="D54" s="14">
        <v>900</v>
      </c>
      <c r="E54" s="14">
        <v>300</v>
      </c>
      <c r="F54" t="s">
        <v>13</v>
      </c>
    </row>
    <row r="55" spans="1:6">
      <c r="A55" t="s">
        <v>65</v>
      </c>
      <c r="B55">
        <v>5040</v>
      </c>
      <c r="C55">
        <v>5040</v>
      </c>
      <c r="D55" s="14">
        <v>900</v>
      </c>
      <c r="E55" s="14">
        <v>300</v>
      </c>
      <c r="F55" t="s">
        <v>13</v>
      </c>
    </row>
    <row r="56" spans="1:6">
      <c r="A56" t="s">
        <v>66</v>
      </c>
      <c r="B56">
        <v>5400</v>
      </c>
      <c r="C56">
        <v>5400</v>
      </c>
      <c r="D56" s="14">
        <v>900</v>
      </c>
      <c r="E56" s="14">
        <v>300</v>
      </c>
      <c r="F56" t="s">
        <v>13</v>
      </c>
    </row>
    <row r="57" spans="1:6">
      <c r="A57" t="s">
        <v>67</v>
      </c>
      <c r="B57">
        <v>5760</v>
      </c>
      <c r="C57">
        <v>5760</v>
      </c>
      <c r="D57" s="14">
        <v>900</v>
      </c>
      <c r="E57" s="14">
        <v>300</v>
      </c>
      <c r="F57" t="s">
        <v>13</v>
      </c>
    </row>
    <row r="58" spans="1:6">
      <c r="A58" t="s">
        <v>68</v>
      </c>
      <c r="B58">
        <v>6120</v>
      </c>
      <c r="C58">
        <v>6120</v>
      </c>
      <c r="D58" s="14">
        <v>900</v>
      </c>
      <c r="E58" s="14">
        <v>300</v>
      </c>
      <c r="F58" t="s">
        <v>13</v>
      </c>
    </row>
    <row r="59" spans="1:6">
      <c r="A59" t="s">
        <v>69</v>
      </c>
      <c r="B59">
        <v>6480</v>
      </c>
      <c r="C59">
        <v>6480</v>
      </c>
      <c r="D59" s="14">
        <v>900</v>
      </c>
      <c r="E59" s="14">
        <v>300</v>
      </c>
      <c r="F59" t="s">
        <v>13</v>
      </c>
    </row>
    <row r="60" spans="1:6">
      <c r="A60" t="s">
        <v>70</v>
      </c>
      <c r="B60">
        <v>6840</v>
      </c>
      <c r="C60">
        <v>6840</v>
      </c>
      <c r="D60" s="14">
        <v>900</v>
      </c>
      <c r="E60" s="14">
        <v>300</v>
      </c>
      <c r="F60" t="s">
        <v>13</v>
      </c>
    </row>
    <row r="61" spans="1:6">
      <c r="A61" t="s">
        <v>71</v>
      </c>
      <c r="B61">
        <v>7200</v>
      </c>
      <c r="C61">
        <v>7200</v>
      </c>
      <c r="D61" s="14">
        <v>900</v>
      </c>
      <c r="E61" s="14">
        <v>300</v>
      </c>
      <c r="F61" t="s">
        <v>13</v>
      </c>
    </row>
    <row r="62" spans="1:6">
      <c r="A62" t="s">
        <v>72</v>
      </c>
      <c r="B62">
        <v>7560</v>
      </c>
      <c r="C62">
        <v>7560</v>
      </c>
      <c r="D62" s="14">
        <v>900</v>
      </c>
      <c r="E62" s="14">
        <v>300</v>
      </c>
      <c r="F62" t="s">
        <v>13</v>
      </c>
    </row>
    <row r="63" spans="1:6">
      <c r="A63" t="s">
        <v>73</v>
      </c>
      <c r="B63">
        <v>5880</v>
      </c>
      <c r="C63">
        <v>5880</v>
      </c>
      <c r="D63" s="14">
        <v>900</v>
      </c>
      <c r="E63" s="14">
        <v>300</v>
      </c>
      <c r="F63" t="s">
        <v>13</v>
      </c>
    </row>
    <row r="64" spans="1:6">
      <c r="A64" t="s">
        <v>74</v>
      </c>
      <c r="B64">
        <v>6440</v>
      </c>
      <c r="C64">
        <v>6440</v>
      </c>
      <c r="D64" s="14">
        <v>900</v>
      </c>
      <c r="E64" s="14">
        <v>300</v>
      </c>
      <c r="F64" t="s">
        <v>13</v>
      </c>
    </row>
    <row r="65" spans="1:6">
      <c r="A65" t="s">
        <v>75</v>
      </c>
      <c r="B65">
        <v>7000</v>
      </c>
      <c r="C65">
        <v>7000</v>
      </c>
      <c r="D65" s="14">
        <v>900</v>
      </c>
      <c r="E65" s="14">
        <v>300</v>
      </c>
      <c r="F65" t="s">
        <v>13</v>
      </c>
    </row>
    <row r="66" spans="1:6">
      <c r="A66" t="s">
        <v>76</v>
      </c>
      <c r="B66">
        <v>7560</v>
      </c>
      <c r="C66">
        <v>7560</v>
      </c>
      <c r="D66" s="14">
        <v>900</v>
      </c>
      <c r="E66" s="14">
        <v>300</v>
      </c>
      <c r="F66" t="s">
        <v>13</v>
      </c>
    </row>
    <row r="67" spans="1:6">
      <c r="A67" t="s">
        <v>77</v>
      </c>
      <c r="B67">
        <v>8120</v>
      </c>
      <c r="C67">
        <v>8120</v>
      </c>
      <c r="D67" s="14">
        <v>900</v>
      </c>
      <c r="E67" s="14">
        <v>300</v>
      </c>
      <c r="F67" t="s">
        <v>13</v>
      </c>
    </row>
    <row r="68" spans="1:6">
      <c r="A68" t="s">
        <v>78</v>
      </c>
      <c r="B68">
        <v>8680</v>
      </c>
      <c r="C68">
        <v>8680</v>
      </c>
      <c r="D68" s="14">
        <v>900</v>
      </c>
      <c r="E68" s="14">
        <v>300</v>
      </c>
      <c r="F68" t="s">
        <v>13</v>
      </c>
    </row>
    <row r="69" spans="1:6">
      <c r="A69" t="s">
        <v>79</v>
      </c>
      <c r="B69">
        <v>9240</v>
      </c>
      <c r="C69">
        <v>9240</v>
      </c>
      <c r="D69" s="14">
        <v>900</v>
      </c>
      <c r="E69" s="14">
        <v>300</v>
      </c>
      <c r="F69" t="s">
        <v>13</v>
      </c>
    </row>
    <row r="70" spans="1:6">
      <c r="A70" t="s">
        <v>80</v>
      </c>
      <c r="B70">
        <v>9800</v>
      </c>
      <c r="C70">
        <v>9800</v>
      </c>
      <c r="D70" s="14">
        <v>900</v>
      </c>
      <c r="E70" s="14">
        <v>300</v>
      </c>
      <c r="F70" t="s">
        <v>13</v>
      </c>
    </row>
    <row r="71" spans="1:6">
      <c r="A71" t="s">
        <v>81</v>
      </c>
      <c r="B71">
        <v>10360</v>
      </c>
      <c r="C71">
        <v>10360</v>
      </c>
      <c r="D71" s="14">
        <v>900</v>
      </c>
      <c r="E71" s="14">
        <v>300</v>
      </c>
      <c r="F71" t="s">
        <v>13</v>
      </c>
    </row>
    <row r="72" spans="1:6">
      <c r="A72" t="s">
        <v>82</v>
      </c>
      <c r="B72">
        <v>10920</v>
      </c>
      <c r="C72">
        <v>10920</v>
      </c>
      <c r="D72" s="14">
        <v>900</v>
      </c>
      <c r="E72" s="14">
        <v>300</v>
      </c>
      <c r="F72" t="s">
        <v>13</v>
      </c>
    </row>
    <row r="73" spans="1:6">
      <c r="A73" t="s">
        <v>83</v>
      </c>
      <c r="B73">
        <v>6720</v>
      </c>
      <c r="C73">
        <v>6720</v>
      </c>
      <c r="D73" s="14">
        <v>1200</v>
      </c>
      <c r="E73" s="14">
        <v>300</v>
      </c>
      <c r="F73" t="s">
        <v>13</v>
      </c>
    </row>
    <row r="74" spans="1:6">
      <c r="A74" t="s">
        <v>84</v>
      </c>
      <c r="B74">
        <v>7360</v>
      </c>
      <c r="C74">
        <v>7360</v>
      </c>
      <c r="D74" s="14">
        <v>1200</v>
      </c>
      <c r="E74" s="14">
        <v>300</v>
      </c>
      <c r="F74" t="s">
        <v>13</v>
      </c>
    </row>
    <row r="75" spans="1:6">
      <c r="A75" t="s">
        <v>85</v>
      </c>
      <c r="B75">
        <v>8000</v>
      </c>
      <c r="C75">
        <v>8000</v>
      </c>
      <c r="D75" s="14">
        <v>1200</v>
      </c>
      <c r="E75" s="14">
        <v>300</v>
      </c>
      <c r="F75" t="s">
        <v>13</v>
      </c>
    </row>
    <row r="76" spans="1:6">
      <c r="A76" t="s">
        <v>86</v>
      </c>
      <c r="B76">
        <v>8640</v>
      </c>
      <c r="C76">
        <v>8640</v>
      </c>
      <c r="D76" s="14">
        <v>1200</v>
      </c>
      <c r="E76" s="14">
        <v>300</v>
      </c>
      <c r="F76" t="s">
        <v>13</v>
      </c>
    </row>
    <row r="77" spans="1:6">
      <c r="A77" t="s">
        <v>87</v>
      </c>
      <c r="B77">
        <v>9280</v>
      </c>
      <c r="C77">
        <v>9280</v>
      </c>
      <c r="D77" s="14">
        <v>1200</v>
      </c>
      <c r="E77" s="14">
        <v>300</v>
      </c>
      <c r="F77" t="s">
        <v>13</v>
      </c>
    </row>
    <row r="78" spans="1:6">
      <c r="A78" t="s">
        <v>88</v>
      </c>
      <c r="B78">
        <v>9920</v>
      </c>
      <c r="C78">
        <v>9920</v>
      </c>
      <c r="D78" s="14">
        <v>1200</v>
      </c>
      <c r="E78" s="14">
        <v>300</v>
      </c>
      <c r="F78" t="s">
        <v>13</v>
      </c>
    </row>
    <row r="79" spans="1:6">
      <c r="A79" t="s">
        <v>89</v>
      </c>
      <c r="B79">
        <v>10560</v>
      </c>
      <c r="C79">
        <v>10560</v>
      </c>
      <c r="D79" s="14">
        <v>1200</v>
      </c>
      <c r="E79" s="14">
        <v>300</v>
      </c>
      <c r="F79" t="s">
        <v>13</v>
      </c>
    </row>
    <row r="80" spans="1:6">
      <c r="A80" t="s">
        <v>90</v>
      </c>
      <c r="B80">
        <v>11200</v>
      </c>
      <c r="C80">
        <v>11200</v>
      </c>
      <c r="D80" s="14">
        <v>1200</v>
      </c>
      <c r="E80" s="14">
        <v>300</v>
      </c>
      <c r="F80" t="s">
        <v>13</v>
      </c>
    </row>
    <row r="81" spans="1:6">
      <c r="A81" t="s">
        <v>91</v>
      </c>
      <c r="B81">
        <v>11840</v>
      </c>
      <c r="C81">
        <v>11840</v>
      </c>
      <c r="D81" s="14">
        <v>1200</v>
      </c>
      <c r="E81" s="14">
        <v>300</v>
      </c>
      <c r="F81" t="s">
        <v>13</v>
      </c>
    </row>
    <row r="82" spans="1:6">
      <c r="A82" t="s">
        <v>92</v>
      </c>
      <c r="B82">
        <v>12480</v>
      </c>
      <c r="C82">
        <v>12480</v>
      </c>
      <c r="D82" s="14">
        <v>1200</v>
      </c>
      <c r="E82" s="14">
        <v>300</v>
      </c>
      <c r="F82" t="s">
        <v>13</v>
      </c>
    </row>
    <row r="83" spans="1:6">
      <c r="A83" t="s">
        <v>93</v>
      </c>
      <c r="B83">
        <v>11520</v>
      </c>
      <c r="C83">
        <v>11520</v>
      </c>
      <c r="D83" s="14">
        <v>1200</v>
      </c>
      <c r="E83" s="14">
        <v>300</v>
      </c>
      <c r="F83" t="s">
        <v>13</v>
      </c>
    </row>
    <row r="84" spans="1:6">
      <c r="A84" t="s">
        <v>94</v>
      </c>
      <c r="B84">
        <v>12240</v>
      </c>
      <c r="C84">
        <v>12240</v>
      </c>
      <c r="D84" s="14">
        <v>1200</v>
      </c>
      <c r="E84" s="14">
        <v>300</v>
      </c>
      <c r="F84" t="s">
        <v>13</v>
      </c>
    </row>
    <row r="85" spans="1:6">
      <c r="A85" t="s">
        <v>95</v>
      </c>
      <c r="B85">
        <v>12960</v>
      </c>
      <c r="C85">
        <v>12960</v>
      </c>
      <c r="D85" s="14">
        <v>1200</v>
      </c>
      <c r="E85" s="14">
        <v>300</v>
      </c>
      <c r="F85" t="s">
        <v>13</v>
      </c>
    </row>
    <row r="86" spans="1:6">
      <c r="A86" t="s">
        <v>96</v>
      </c>
      <c r="B86">
        <v>13680</v>
      </c>
      <c r="C86">
        <v>13680</v>
      </c>
      <c r="D86" s="14">
        <v>1200</v>
      </c>
      <c r="E86" s="14">
        <v>300</v>
      </c>
      <c r="F86" t="s">
        <v>13</v>
      </c>
    </row>
    <row r="87" spans="1:6">
      <c r="A87" t="s">
        <v>97</v>
      </c>
      <c r="B87">
        <v>14400</v>
      </c>
      <c r="C87">
        <v>14400</v>
      </c>
      <c r="D87" s="14">
        <v>1200</v>
      </c>
      <c r="E87" s="14">
        <v>300</v>
      </c>
      <c r="F87" t="s">
        <v>13</v>
      </c>
    </row>
    <row r="88" spans="1:6">
      <c r="A88" t="s">
        <v>98</v>
      </c>
      <c r="B88">
        <v>15120</v>
      </c>
      <c r="C88">
        <v>15120</v>
      </c>
      <c r="D88" s="14">
        <v>1200</v>
      </c>
      <c r="E88" s="14">
        <v>300</v>
      </c>
      <c r="F88" t="s">
        <v>13</v>
      </c>
    </row>
    <row r="89" spans="1:6">
      <c r="A89" t="s">
        <v>99</v>
      </c>
      <c r="B89">
        <v>15840</v>
      </c>
      <c r="C89">
        <v>15840</v>
      </c>
      <c r="D89" s="14">
        <v>1200</v>
      </c>
      <c r="E89" s="14">
        <v>300</v>
      </c>
      <c r="F89" t="s">
        <v>13</v>
      </c>
    </row>
    <row r="90" spans="1:6">
      <c r="A90" t="s">
        <v>100</v>
      </c>
      <c r="B90">
        <v>16560</v>
      </c>
      <c r="C90">
        <v>16560</v>
      </c>
      <c r="D90" s="14">
        <v>1200</v>
      </c>
      <c r="E90" s="14">
        <v>300</v>
      </c>
      <c r="F90" t="s">
        <v>13</v>
      </c>
    </row>
    <row r="91" spans="1:6">
      <c r="A91" t="s">
        <v>101</v>
      </c>
      <c r="B91">
        <v>17280</v>
      </c>
      <c r="C91">
        <v>17280</v>
      </c>
      <c r="D91" s="14">
        <v>1200</v>
      </c>
      <c r="E91" s="14">
        <v>300</v>
      </c>
      <c r="F91" t="s">
        <v>13</v>
      </c>
    </row>
    <row r="92" spans="1:6">
      <c r="A92" t="s">
        <v>102</v>
      </c>
      <c r="B92">
        <v>18000</v>
      </c>
      <c r="C92">
        <v>18000</v>
      </c>
      <c r="D92" s="14">
        <v>1200</v>
      </c>
      <c r="E92" s="14">
        <v>300</v>
      </c>
      <c r="F92" t="s">
        <v>13</v>
      </c>
    </row>
    <row r="93" spans="1:6">
      <c r="A93" t="s">
        <v>103</v>
      </c>
      <c r="B93">
        <v>16800</v>
      </c>
      <c r="C93">
        <v>16800</v>
      </c>
      <c r="D93" s="14">
        <v>1200</v>
      </c>
      <c r="E93" s="14">
        <v>300</v>
      </c>
      <c r="F93" t="s">
        <v>13</v>
      </c>
    </row>
    <row r="94" spans="1:6">
      <c r="A94" t="s">
        <v>104</v>
      </c>
      <c r="B94">
        <v>17920</v>
      </c>
      <c r="C94">
        <v>17920</v>
      </c>
      <c r="D94" s="14">
        <v>1200</v>
      </c>
      <c r="E94" s="14">
        <v>300</v>
      </c>
      <c r="F94" t="s">
        <v>13</v>
      </c>
    </row>
    <row r="95" spans="1:6">
      <c r="A95" t="s">
        <v>105</v>
      </c>
      <c r="B95">
        <v>19040</v>
      </c>
      <c r="C95">
        <v>19040</v>
      </c>
      <c r="D95" s="14">
        <v>1200</v>
      </c>
      <c r="E95" s="14">
        <v>300</v>
      </c>
      <c r="F95" t="s">
        <v>13</v>
      </c>
    </row>
    <row r="96" spans="1:6">
      <c r="A96" t="s">
        <v>106</v>
      </c>
      <c r="B96">
        <v>20160</v>
      </c>
      <c r="C96">
        <v>20160</v>
      </c>
      <c r="D96" s="14">
        <v>1200</v>
      </c>
      <c r="E96" s="14">
        <v>300</v>
      </c>
      <c r="F96" t="s">
        <v>13</v>
      </c>
    </row>
    <row r="97" spans="1:6">
      <c r="A97" t="s">
        <v>107</v>
      </c>
      <c r="B97">
        <v>21280</v>
      </c>
      <c r="C97">
        <v>21280</v>
      </c>
      <c r="D97" s="14">
        <v>1200</v>
      </c>
      <c r="E97" s="14">
        <v>300</v>
      </c>
      <c r="F97" t="s">
        <v>13</v>
      </c>
    </row>
    <row r="98" spans="1:6">
      <c r="A98" t="s">
        <v>108</v>
      </c>
      <c r="B98">
        <v>22400</v>
      </c>
      <c r="C98">
        <v>22400</v>
      </c>
      <c r="D98" s="14">
        <v>1200</v>
      </c>
      <c r="E98" s="14">
        <v>300</v>
      </c>
      <c r="F98" t="s">
        <v>13</v>
      </c>
    </row>
    <row r="99" spans="1:6">
      <c r="A99" t="s">
        <v>109</v>
      </c>
      <c r="B99">
        <v>23520</v>
      </c>
      <c r="C99">
        <v>23520</v>
      </c>
      <c r="D99" s="14">
        <v>1200</v>
      </c>
      <c r="E99" s="14">
        <v>300</v>
      </c>
      <c r="F99" t="s">
        <v>13</v>
      </c>
    </row>
    <row r="100" spans="1:6">
      <c r="A100" t="s">
        <v>110</v>
      </c>
      <c r="B100">
        <v>24640</v>
      </c>
      <c r="C100">
        <v>24640</v>
      </c>
      <c r="D100" s="14">
        <v>1200</v>
      </c>
      <c r="E100" s="14">
        <v>300</v>
      </c>
      <c r="F100" t="s">
        <v>13</v>
      </c>
    </row>
    <row r="101" spans="1:6">
      <c r="A101" t="s">
        <v>111</v>
      </c>
      <c r="B101">
        <v>25760</v>
      </c>
      <c r="C101">
        <v>25760</v>
      </c>
      <c r="D101" s="14">
        <v>1200</v>
      </c>
      <c r="E101" s="14">
        <v>300</v>
      </c>
      <c r="F101" t="s">
        <v>13</v>
      </c>
    </row>
    <row r="102" spans="1:6">
      <c r="A102" t="s">
        <v>112</v>
      </c>
      <c r="B102">
        <v>26880</v>
      </c>
      <c r="C102">
        <v>26880</v>
      </c>
      <c r="D102" s="14">
        <v>1200</v>
      </c>
      <c r="E102" s="14">
        <v>300</v>
      </c>
      <c r="F102" t="s">
        <v>13</v>
      </c>
    </row>
    <row r="103" spans="1:6">
      <c r="A103" t="s">
        <v>113</v>
      </c>
      <c r="B103">
        <v>15000</v>
      </c>
      <c r="C103">
        <v>15000</v>
      </c>
      <c r="D103" s="14">
        <v>1600</v>
      </c>
      <c r="E103" s="14">
        <v>300</v>
      </c>
      <c r="F103" t="s">
        <v>13</v>
      </c>
    </row>
    <row r="104" spans="1:6">
      <c r="A104" t="s">
        <v>114</v>
      </c>
      <c r="B104">
        <v>16500</v>
      </c>
      <c r="C104">
        <v>16500</v>
      </c>
      <c r="D104" s="14">
        <v>1600</v>
      </c>
      <c r="E104" s="14">
        <v>300</v>
      </c>
      <c r="F104" t="s">
        <v>13</v>
      </c>
    </row>
    <row r="105" spans="1:6">
      <c r="A105" t="s">
        <v>115</v>
      </c>
      <c r="B105">
        <v>18000</v>
      </c>
      <c r="C105">
        <v>18000</v>
      </c>
      <c r="D105" s="14">
        <v>1600</v>
      </c>
      <c r="E105" s="14">
        <v>300</v>
      </c>
      <c r="F105" t="s">
        <v>13</v>
      </c>
    </row>
    <row r="106" spans="1:6">
      <c r="A106" t="s">
        <v>116</v>
      </c>
      <c r="B106">
        <v>19500</v>
      </c>
      <c r="C106">
        <v>19500</v>
      </c>
      <c r="D106" s="14">
        <v>1600</v>
      </c>
      <c r="E106" s="14">
        <v>300</v>
      </c>
      <c r="F106" t="s">
        <v>13</v>
      </c>
    </row>
    <row r="107" spans="1:6">
      <c r="A107" t="s">
        <v>117</v>
      </c>
      <c r="B107">
        <v>21000</v>
      </c>
      <c r="C107">
        <v>21000</v>
      </c>
      <c r="D107" s="14">
        <v>1600</v>
      </c>
      <c r="E107" s="14">
        <v>300</v>
      </c>
      <c r="F107" t="s">
        <v>13</v>
      </c>
    </row>
    <row r="108" spans="1:6">
      <c r="A108" t="s">
        <v>118</v>
      </c>
      <c r="B108">
        <v>22500</v>
      </c>
      <c r="C108">
        <v>22500</v>
      </c>
      <c r="D108" s="14">
        <v>1600</v>
      </c>
      <c r="E108" s="14">
        <v>300</v>
      </c>
      <c r="F108" t="s">
        <v>13</v>
      </c>
    </row>
    <row r="109" spans="1:6">
      <c r="A109" t="s">
        <v>119</v>
      </c>
      <c r="B109">
        <v>24000</v>
      </c>
      <c r="C109">
        <v>24000</v>
      </c>
      <c r="D109" s="14">
        <v>1600</v>
      </c>
      <c r="E109" s="14">
        <v>300</v>
      </c>
      <c r="F109" t="s">
        <v>13</v>
      </c>
    </row>
    <row r="110" spans="1:6">
      <c r="A110" t="s">
        <v>120</v>
      </c>
      <c r="B110">
        <v>25500</v>
      </c>
      <c r="C110">
        <v>25500</v>
      </c>
      <c r="D110" s="14">
        <v>1600</v>
      </c>
      <c r="E110" s="14">
        <v>300</v>
      </c>
      <c r="F110" t="s">
        <v>13</v>
      </c>
    </row>
    <row r="111" spans="1:6">
      <c r="A111" t="s">
        <v>121</v>
      </c>
      <c r="B111">
        <v>27000</v>
      </c>
      <c r="C111">
        <v>27000</v>
      </c>
      <c r="D111" s="14">
        <v>1600</v>
      </c>
      <c r="E111" s="14">
        <v>300</v>
      </c>
      <c r="F111" t="s">
        <v>13</v>
      </c>
    </row>
    <row r="112" spans="1:6">
      <c r="A112" t="s">
        <v>122</v>
      </c>
      <c r="B112">
        <v>28500</v>
      </c>
      <c r="C112">
        <v>28500</v>
      </c>
      <c r="D112" s="14">
        <v>1600</v>
      </c>
      <c r="E112" s="14">
        <v>300</v>
      </c>
      <c r="F112" t="s">
        <v>13</v>
      </c>
    </row>
    <row r="113" spans="1:6">
      <c r="A113" t="s">
        <v>123</v>
      </c>
      <c r="B113">
        <v>3600</v>
      </c>
      <c r="C113">
        <v>3600</v>
      </c>
      <c r="D113" s="14">
        <v>900</v>
      </c>
      <c r="E113" s="14">
        <v>300</v>
      </c>
      <c r="F113" t="s">
        <v>13</v>
      </c>
    </row>
    <row r="114" spans="1:6">
      <c r="A114" t="s">
        <v>124</v>
      </c>
      <c r="B114">
        <v>3960</v>
      </c>
      <c r="C114">
        <v>3960</v>
      </c>
      <c r="D114" s="14">
        <v>900</v>
      </c>
      <c r="E114" s="14">
        <v>300</v>
      </c>
      <c r="F114" t="s">
        <v>13</v>
      </c>
    </row>
    <row r="115" spans="1:6">
      <c r="A115" t="s">
        <v>125</v>
      </c>
      <c r="B115">
        <v>4320</v>
      </c>
      <c r="C115">
        <v>4320</v>
      </c>
      <c r="D115" s="14">
        <v>900</v>
      </c>
      <c r="E115" s="14">
        <v>300</v>
      </c>
      <c r="F115" t="s">
        <v>13</v>
      </c>
    </row>
    <row r="116" spans="1:6">
      <c r="A116" t="s">
        <v>126</v>
      </c>
      <c r="B116">
        <v>4680</v>
      </c>
      <c r="C116">
        <v>4680</v>
      </c>
      <c r="D116" s="14">
        <v>900</v>
      </c>
      <c r="E116" s="14">
        <v>300</v>
      </c>
      <c r="F116" t="s">
        <v>13</v>
      </c>
    </row>
    <row r="117" spans="1:6">
      <c r="A117" t="s">
        <v>127</v>
      </c>
      <c r="B117">
        <v>5040</v>
      </c>
      <c r="C117">
        <v>5040</v>
      </c>
      <c r="D117" s="14">
        <v>900</v>
      </c>
      <c r="E117" s="14">
        <v>300</v>
      </c>
      <c r="F117" t="s">
        <v>13</v>
      </c>
    </row>
    <row r="118" spans="1:6">
      <c r="A118" t="s">
        <v>128</v>
      </c>
      <c r="B118">
        <v>5400</v>
      </c>
      <c r="C118">
        <v>5400</v>
      </c>
      <c r="D118" s="14">
        <v>900</v>
      </c>
      <c r="E118" s="14">
        <v>300</v>
      </c>
      <c r="F118" t="s">
        <v>13</v>
      </c>
    </row>
    <row r="119" spans="1:6">
      <c r="A119" t="s">
        <v>129</v>
      </c>
      <c r="B119">
        <v>5760</v>
      </c>
      <c r="C119">
        <v>5760</v>
      </c>
      <c r="D119" s="14">
        <v>900</v>
      </c>
      <c r="E119" s="14">
        <v>300</v>
      </c>
      <c r="F119" t="s">
        <v>13</v>
      </c>
    </row>
    <row r="120" spans="1:6">
      <c r="A120" t="s">
        <v>130</v>
      </c>
      <c r="B120">
        <v>6120</v>
      </c>
      <c r="C120">
        <v>6120</v>
      </c>
      <c r="D120" s="14">
        <v>900</v>
      </c>
      <c r="E120" s="14">
        <v>300</v>
      </c>
      <c r="F120" t="s">
        <v>13</v>
      </c>
    </row>
    <row r="121" spans="1:6">
      <c r="A121" t="s">
        <v>131</v>
      </c>
      <c r="B121">
        <v>6480</v>
      </c>
      <c r="C121">
        <v>6480</v>
      </c>
      <c r="D121" s="14">
        <v>900</v>
      </c>
      <c r="E121" s="14">
        <v>300</v>
      </c>
      <c r="F121" t="s">
        <v>13</v>
      </c>
    </row>
    <row r="122" spans="1:6">
      <c r="A122" t="s">
        <v>132</v>
      </c>
      <c r="B122">
        <v>6840</v>
      </c>
      <c r="C122">
        <v>6840</v>
      </c>
      <c r="D122" s="14">
        <v>900</v>
      </c>
      <c r="E122" s="14">
        <v>300</v>
      </c>
      <c r="F122" t="s">
        <v>13</v>
      </c>
    </row>
    <row r="123" spans="1:6">
      <c r="A123" t="s">
        <v>133</v>
      </c>
      <c r="B123">
        <v>5160</v>
      </c>
      <c r="C123">
        <v>5160</v>
      </c>
      <c r="D123" s="14">
        <v>900</v>
      </c>
      <c r="E123" s="14">
        <v>300</v>
      </c>
      <c r="F123" t="s">
        <v>13</v>
      </c>
    </row>
    <row r="124" spans="1:6">
      <c r="A124" t="s">
        <v>134</v>
      </c>
      <c r="B124">
        <v>5720</v>
      </c>
      <c r="C124">
        <v>5720</v>
      </c>
      <c r="D124" s="14">
        <v>900</v>
      </c>
      <c r="E124" s="14">
        <v>300</v>
      </c>
      <c r="F124" t="s">
        <v>13</v>
      </c>
    </row>
    <row r="125" spans="1:6">
      <c r="A125" t="s">
        <v>135</v>
      </c>
      <c r="B125">
        <v>6280</v>
      </c>
      <c r="C125">
        <v>6280</v>
      </c>
      <c r="D125" s="14">
        <v>900</v>
      </c>
      <c r="E125" s="14">
        <v>300</v>
      </c>
      <c r="F125" t="s">
        <v>13</v>
      </c>
    </row>
    <row r="126" spans="1:6">
      <c r="A126" t="s">
        <v>136</v>
      </c>
      <c r="B126">
        <v>6840</v>
      </c>
      <c r="C126">
        <v>6840</v>
      </c>
      <c r="D126" s="14">
        <v>900</v>
      </c>
      <c r="E126" s="14">
        <v>300</v>
      </c>
      <c r="F126" t="s">
        <v>13</v>
      </c>
    </row>
    <row r="127" spans="1:6">
      <c r="A127" t="s">
        <v>137</v>
      </c>
      <c r="B127">
        <v>7400</v>
      </c>
      <c r="C127">
        <v>7400</v>
      </c>
      <c r="D127" s="14">
        <v>900</v>
      </c>
      <c r="E127" s="14">
        <v>300</v>
      </c>
      <c r="F127" t="s">
        <v>13</v>
      </c>
    </row>
    <row r="128" spans="1:6">
      <c r="A128" t="s">
        <v>138</v>
      </c>
      <c r="B128">
        <v>7960</v>
      </c>
      <c r="C128">
        <v>7960</v>
      </c>
      <c r="D128" s="14">
        <v>900</v>
      </c>
      <c r="E128" s="14">
        <v>300</v>
      </c>
      <c r="F128" t="s">
        <v>13</v>
      </c>
    </row>
    <row r="129" spans="1:6">
      <c r="A129" t="s">
        <v>139</v>
      </c>
      <c r="B129">
        <v>8520</v>
      </c>
      <c r="C129">
        <v>8520</v>
      </c>
      <c r="D129" s="14">
        <v>900</v>
      </c>
      <c r="E129" s="14">
        <v>300</v>
      </c>
      <c r="F129" t="s">
        <v>13</v>
      </c>
    </row>
    <row r="130" spans="1:6">
      <c r="A130" t="s">
        <v>140</v>
      </c>
      <c r="B130">
        <v>9080</v>
      </c>
      <c r="C130">
        <v>9080</v>
      </c>
      <c r="D130" s="14">
        <v>900</v>
      </c>
      <c r="E130" s="14">
        <v>300</v>
      </c>
      <c r="F130" t="s">
        <v>13</v>
      </c>
    </row>
    <row r="131" spans="1:6">
      <c r="A131" t="s">
        <v>141</v>
      </c>
      <c r="B131">
        <v>9640</v>
      </c>
      <c r="C131">
        <v>9640</v>
      </c>
      <c r="D131" s="14">
        <v>900</v>
      </c>
      <c r="E131" s="14">
        <v>300</v>
      </c>
      <c r="F131" t="s">
        <v>13</v>
      </c>
    </row>
    <row r="132" spans="1:6">
      <c r="A132" t="s">
        <v>142</v>
      </c>
      <c r="B132">
        <v>10200</v>
      </c>
      <c r="C132">
        <v>10200</v>
      </c>
      <c r="D132" s="14">
        <v>900</v>
      </c>
      <c r="E132" s="14">
        <v>300</v>
      </c>
      <c r="F132" t="s">
        <v>13</v>
      </c>
    </row>
    <row r="133" spans="1:6">
      <c r="A133" t="s">
        <v>143</v>
      </c>
      <c r="B133">
        <v>6000</v>
      </c>
      <c r="C133">
        <v>6000</v>
      </c>
      <c r="D133" s="14">
        <v>1200</v>
      </c>
      <c r="E133" s="14">
        <v>300</v>
      </c>
      <c r="F133" t="s">
        <v>13</v>
      </c>
    </row>
    <row r="134" spans="1:6">
      <c r="A134" t="s">
        <v>144</v>
      </c>
      <c r="B134">
        <v>6640</v>
      </c>
      <c r="C134">
        <v>6640</v>
      </c>
      <c r="D134" s="14">
        <v>1200</v>
      </c>
      <c r="E134" s="14">
        <v>300</v>
      </c>
      <c r="F134" t="s">
        <v>13</v>
      </c>
    </row>
    <row r="135" spans="1:6">
      <c r="A135" t="s">
        <v>145</v>
      </c>
      <c r="B135">
        <v>7280</v>
      </c>
      <c r="C135">
        <v>7280</v>
      </c>
      <c r="D135" s="14">
        <v>1200</v>
      </c>
      <c r="E135" s="14">
        <v>300</v>
      </c>
      <c r="F135" t="s">
        <v>13</v>
      </c>
    </row>
    <row r="136" spans="1:6">
      <c r="A136" t="s">
        <v>146</v>
      </c>
      <c r="B136">
        <v>7920</v>
      </c>
      <c r="C136">
        <v>7920</v>
      </c>
      <c r="D136" s="14">
        <v>1200</v>
      </c>
      <c r="E136" s="14">
        <v>300</v>
      </c>
      <c r="F136" t="s">
        <v>13</v>
      </c>
    </row>
    <row r="137" spans="1:6">
      <c r="A137" t="s">
        <v>147</v>
      </c>
      <c r="B137">
        <v>8560</v>
      </c>
      <c r="C137">
        <v>8560</v>
      </c>
      <c r="D137" s="14">
        <v>1200</v>
      </c>
      <c r="E137" s="14">
        <v>300</v>
      </c>
      <c r="F137" t="s">
        <v>13</v>
      </c>
    </row>
    <row r="138" spans="1:6">
      <c r="A138" t="s">
        <v>148</v>
      </c>
      <c r="B138">
        <v>9200</v>
      </c>
      <c r="C138">
        <v>9200</v>
      </c>
      <c r="D138" s="14">
        <v>1200</v>
      </c>
      <c r="E138" s="14">
        <v>300</v>
      </c>
      <c r="F138" t="s">
        <v>13</v>
      </c>
    </row>
    <row r="139" spans="1:6">
      <c r="A139" t="s">
        <v>149</v>
      </c>
      <c r="B139">
        <v>9840</v>
      </c>
      <c r="C139">
        <v>9840</v>
      </c>
      <c r="D139" s="14">
        <v>1200</v>
      </c>
      <c r="E139" s="14">
        <v>300</v>
      </c>
      <c r="F139" t="s">
        <v>13</v>
      </c>
    </row>
    <row r="140" spans="1:6">
      <c r="A140" t="s">
        <v>150</v>
      </c>
      <c r="B140">
        <v>10480</v>
      </c>
      <c r="C140">
        <v>10480</v>
      </c>
      <c r="D140" s="14">
        <v>1200</v>
      </c>
      <c r="E140" s="14">
        <v>300</v>
      </c>
      <c r="F140" t="s">
        <v>13</v>
      </c>
    </row>
    <row r="141" spans="1:6">
      <c r="A141" t="s">
        <v>151</v>
      </c>
      <c r="B141">
        <v>11120</v>
      </c>
      <c r="C141">
        <v>11120</v>
      </c>
      <c r="D141" s="14">
        <v>1200</v>
      </c>
      <c r="E141" s="14">
        <v>300</v>
      </c>
      <c r="F141" t="s">
        <v>13</v>
      </c>
    </row>
    <row r="142" spans="1:6">
      <c r="A142" t="s">
        <v>152</v>
      </c>
      <c r="B142">
        <v>11760</v>
      </c>
      <c r="C142">
        <v>11760</v>
      </c>
      <c r="D142" s="14">
        <v>1200</v>
      </c>
      <c r="E142" s="14">
        <v>300</v>
      </c>
      <c r="F142" t="s">
        <v>13</v>
      </c>
    </row>
    <row r="143" spans="1:6">
      <c r="A143" t="s">
        <v>153</v>
      </c>
      <c r="B143">
        <v>10800</v>
      </c>
      <c r="C143">
        <v>10800</v>
      </c>
      <c r="D143" s="14">
        <v>1200</v>
      </c>
      <c r="E143" s="14">
        <v>300</v>
      </c>
      <c r="F143" t="s">
        <v>13</v>
      </c>
    </row>
    <row r="144" spans="1:6">
      <c r="A144" t="s">
        <v>154</v>
      </c>
      <c r="B144">
        <v>11520</v>
      </c>
      <c r="C144">
        <v>11520</v>
      </c>
      <c r="D144" s="14">
        <v>1200</v>
      </c>
      <c r="E144" s="14">
        <v>300</v>
      </c>
      <c r="F144" t="s">
        <v>13</v>
      </c>
    </row>
    <row r="145" spans="1:6">
      <c r="A145" t="s">
        <v>155</v>
      </c>
      <c r="B145">
        <v>12240</v>
      </c>
      <c r="C145">
        <v>12240</v>
      </c>
      <c r="D145" s="14">
        <v>1200</v>
      </c>
      <c r="E145" s="14">
        <v>300</v>
      </c>
      <c r="F145" t="s">
        <v>13</v>
      </c>
    </row>
    <row r="146" spans="1:6">
      <c r="A146" t="s">
        <v>156</v>
      </c>
      <c r="B146">
        <v>12960</v>
      </c>
      <c r="C146">
        <v>12960</v>
      </c>
      <c r="D146" s="14">
        <v>1200</v>
      </c>
      <c r="E146" s="14">
        <v>300</v>
      </c>
      <c r="F146" t="s">
        <v>13</v>
      </c>
    </row>
    <row r="147" spans="1:6">
      <c r="A147" t="s">
        <v>157</v>
      </c>
      <c r="B147">
        <v>13680</v>
      </c>
      <c r="C147">
        <v>13680</v>
      </c>
      <c r="D147" s="14">
        <v>1200</v>
      </c>
      <c r="E147" s="14">
        <v>300</v>
      </c>
      <c r="F147" t="s">
        <v>13</v>
      </c>
    </row>
    <row r="148" spans="1:6">
      <c r="A148" t="s">
        <v>158</v>
      </c>
      <c r="B148">
        <v>14400</v>
      </c>
      <c r="C148">
        <v>14400</v>
      </c>
      <c r="D148" s="14">
        <v>1200</v>
      </c>
      <c r="E148" s="14">
        <v>300</v>
      </c>
      <c r="F148" t="s">
        <v>13</v>
      </c>
    </row>
    <row r="149" spans="1:6">
      <c r="A149" t="s">
        <v>159</v>
      </c>
      <c r="B149">
        <v>15120</v>
      </c>
      <c r="C149">
        <v>15120</v>
      </c>
      <c r="D149" s="14">
        <v>1200</v>
      </c>
      <c r="E149" s="14">
        <v>300</v>
      </c>
      <c r="F149" t="s">
        <v>13</v>
      </c>
    </row>
    <row r="150" spans="1:6">
      <c r="A150" t="s">
        <v>160</v>
      </c>
      <c r="B150">
        <v>15840</v>
      </c>
      <c r="C150">
        <v>15840</v>
      </c>
      <c r="D150" s="14">
        <v>1200</v>
      </c>
      <c r="E150" s="14">
        <v>300</v>
      </c>
      <c r="F150" t="s">
        <v>13</v>
      </c>
    </row>
    <row r="151" spans="1:6">
      <c r="A151" t="s">
        <v>161</v>
      </c>
      <c r="B151">
        <v>16560</v>
      </c>
      <c r="C151">
        <v>16560</v>
      </c>
      <c r="D151" s="14">
        <v>1200</v>
      </c>
      <c r="E151" s="14">
        <v>300</v>
      </c>
      <c r="F151" t="s">
        <v>13</v>
      </c>
    </row>
    <row r="152" spans="1:6">
      <c r="A152" t="s">
        <v>162</v>
      </c>
      <c r="B152">
        <v>17280</v>
      </c>
      <c r="C152">
        <v>17280</v>
      </c>
      <c r="D152" s="14">
        <v>1200</v>
      </c>
      <c r="E152" s="14">
        <v>300</v>
      </c>
      <c r="F152" t="s">
        <v>13</v>
      </c>
    </row>
    <row r="153" spans="1:6">
      <c r="A153" t="s">
        <v>163</v>
      </c>
      <c r="B153">
        <v>16080</v>
      </c>
      <c r="C153">
        <v>16080</v>
      </c>
      <c r="D153" s="14">
        <v>1600</v>
      </c>
      <c r="E153" s="14">
        <v>300</v>
      </c>
      <c r="F153" t="s">
        <v>13</v>
      </c>
    </row>
    <row r="154" spans="1:6">
      <c r="A154" t="s">
        <v>164</v>
      </c>
      <c r="B154">
        <v>17200</v>
      </c>
      <c r="C154">
        <v>17200</v>
      </c>
      <c r="D154" s="14">
        <v>1600</v>
      </c>
      <c r="E154" s="14">
        <v>300</v>
      </c>
      <c r="F154" t="s">
        <v>13</v>
      </c>
    </row>
    <row r="155" spans="1:6">
      <c r="A155" t="s">
        <v>165</v>
      </c>
      <c r="B155">
        <v>18320</v>
      </c>
      <c r="C155">
        <v>18320</v>
      </c>
      <c r="D155" s="14">
        <v>1600</v>
      </c>
      <c r="E155" s="14">
        <v>300</v>
      </c>
      <c r="F155" t="s">
        <v>13</v>
      </c>
    </row>
    <row r="156" spans="1:6">
      <c r="A156" t="s">
        <v>166</v>
      </c>
      <c r="B156">
        <v>19440</v>
      </c>
      <c r="C156">
        <v>19440</v>
      </c>
      <c r="D156" s="14">
        <v>1600</v>
      </c>
      <c r="E156" s="14">
        <v>300</v>
      </c>
      <c r="F156" t="s">
        <v>13</v>
      </c>
    </row>
    <row r="157" spans="1:6">
      <c r="A157" t="s">
        <v>167</v>
      </c>
      <c r="B157">
        <v>20560</v>
      </c>
      <c r="C157">
        <v>20560</v>
      </c>
      <c r="D157" s="14">
        <v>1600</v>
      </c>
      <c r="E157" s="14">
        <v>300</v>
      </c>
      <c r="F157" t="s">
        <v>13</v>
      </c>
    </row>
    <row r="158" spans="1:6">
      <c r="A158" t="s">
        <v>168</v>
      </c>
      <c r="B158">
        <v>21680</v>
      </c>
      <c r="C158">
        <v>21680</v>
      </c>
      <c r="D158" s="14">
        <v>1600</v>
      </c>
      <c r="E158" s="14">
        <v>300</v>
      </c>
      <c r="F158" t="s">
        <v>13</v>
      </c>
    </row>
    <row r="159" spans="1:6">
      <c r="A159" t="s">
        <v>169</v>
      </c>
      <c r="B159">
        <v>22800</v>
      </c>
      <c r="C159">
        <v>22800</v>
      </c>
      <c r="D159" s="14">
        <v>1600</v>
      </c>
      <c r="E159" s="14">
        <v>300</v>
      </c>
      <c r="F159" t="s">
        <v>13</v>
      </c>
    </row>
    <row r="160" spans="1:6">
      <c r="A160" t="s">
        <v>170</v>
      </c>
      <c r="B160">
        <v>23920</v>
      </c>
      <c r="C160">
        <v>23920</v>
      </c>
      <c r="D160" s="14">
        <v>1600</v>
      </c>
      <c r="E160" s="14">
        <v>300</v>
      </c>
      <c r="F160" t="s">
        <v>13</v>
      </c>
    </row>
    <row r="161" spans="1:6">
      <c r="A161" t="s">
        <v>171</v>
      </c>
      <c r="B161">
        <v>25040</v>
      </c>
      <c r="C161">
        <v>25040</v>
      </c>
      <c r="D161" s="14">
        <v>1600</v>
      </c>
      <c r="E161" s="14">
        <v>300</v>
      </c>
      <c r="F161" t="s">
        <v>13</v>
      </c>
    </row>
    <row r="162" spans="1:6">
      <c r="A162" t="s">
        <v>172</v>
      </c>
      <c r="B162">
        <v>26160</v>
      </c>
      <c r="C162">
        <v>26160</v>
      </c>
      <c r="D162" s="14">
        <v>1600</v>
      </c>
      <c r="E162" s="14">
        <v>300</v>
      </c>
      <c r="F162" t="s">
        <v>13</v>
      </c>
    </row>
    <row r="163" spans="1:6">
      <c r="A163" t="s">
        <v>173</v>
      </c>
      <c r="B163">
        <v>3600</v>
      </c>
      <c r="C163">
        <v>3600</v>
      </c>
      <c r="D163" s="14">
        <v>900</v>
      </c>
      <c r="E163" s="14">
        <v>300</v>
      </c>
      <c r="F163" t="s">
        <v>13</v>
      </c>
    </row>
    <row r="164" spans="1:6">
      <c r="A164" t="s">
        <v>174</v>
      </c>
      <c r="B164">
        <v>3900</v>
      </c>
      <c r="C164">
        <v>3900</v>
      </c>
      <c r="D164" s="14">
        <v>900</v>
      </c>
      <c r="E164" s="14">
        <v>300</v>
      </c>
      <c r="F164" t="s">
        <v>13</v>
      </c>
    </row>
    <row r="165" spans="1:6">
      <c r="A165" t="s">
        <v>175</v>
      </c>
      <c r="B165">
        <v>4200</v>
      </c>
      <c r="C165">
        <v>4200</v>
      </c>
      <c r="D165" s="14">
        <v>900</v>
      </c>
      <c r="E165" s="14">
        <v>300</v>
      </c>
      <c r="F165" t="s">
        <v>13</v>
      </c>
    </row>
    <row r="166" spans="1:6">
      <c r="A166" t="s">
        <v>176</v>
      </c>
      <c r="B166">
        <v>4500</v>
      </c>
      <c r="C166">
        <v>4500</v>
      </c>
      <c r="D166" s="14">
        <v>900</v>
      </c>
      <c r="E166" s="14">
        <v>300</v>
      </c>
      <c r="F166" t="s">
        <v>13</v>
      </c>
    </row>
    <row r="167" spans="1:6">
      <c r="A167" t="s">
        <v>177</v>
      </c>
      <c r="B167">
        <v>4800</v>
      </c>
      <c r="C167">
        <v>4800</v>
      </c>
      <c r="D167" s="14">
        <v>900</v>
      </c>
      <c r="E167" s="14">
        <v>300</v>
      </c>
      <c r="F167" t="s">
        <v>13</v>
      </c>
    </row>
    <row r="168" spans="1:6">
      <c r="A168" t="s">
        <v>178</v>
      </c>
      <c r="B168">
        <v>5100</v>
      </c>
      <c r="C168">
        <v>5100</v>
      </c>
      <c r="D168" s="14">
        <v>900</v>
      </c>
      <c r="E168" s="14">
        <v>300</v>
      </c>
      <c r="F168" t="s">
        <v>13</v>
      </c>
    </row>
    <row r="169" spans="1:6">
      <c r="A169" t="s">
        <v>179</v>
      </c>
      <c r="B169">
        <v>5400</v>
      </c>
      <c r="C169">
        <v>5400</v>
      </c>
      <c r="D169" s="14">
        <v>900</v>
      </c>
      <c r="E169" s="14">
        <v>300</v>
      </c>
      <c r="F169" t="s">
        <v>13</v>
      </c>
    </row>
    <row r="170" spans="1:6">
      <c r="A170" t="s">
        <v>180</v>
      </c>
      <c r="B170">
        <v>5700</v>
      </c>
      <c r="C170">
        <v>5700</v>
      </c>
      <c r="D170" s="14">
        <v>900</v>
      </c>
      <c r="E170" s="14">
        <v>300</v>
      </c>
      <c r="F170" t="s">
        <v>13</v>
      </c>
    </row>
    <row r="171" spans="1:6">
      <c r="A171" t="s">
        <v>181</v>
      </c>
      <c r="B171">
        <v>6000</v>
      </c>
      <c r="C171">
        <v>6000</v>
      </c>
      <c r="D171" s="14">
        <v>900</v>
      </c>
      <c r="E171" s="14">
        <v>300</v>
      </c>
      <c r="F171" t="s">
        <v>13</v>
      </c>
    </row>
    <row r="172" spans="1:6">
      <c r="A172" t="s">
        <v>182</v>
      </c>
      <c r="B172">
        <v>6300</v>
      </c>
      <c r="C172">
        <v>6300</v>
      </c>
      <c r="D172" s="14">
        <v>900</v>
      </c>
      <c r="E172" s="14">
        <v>300</v>
      </c>
      <c r="F172" t="s">
        <v>13</v>
      </c>
    </row>
    <row r="173" spans="1:6">
      <c r="A173" t="s">
        <v>183</v>
      </c>
      <c r="B173">
        <v>5600</v>
      </c>
      <c r="C173">
        <v>5600</v>
      </c>
      <c r="D173" s="14">
        <v>900</v>
      </c>
      <c r="E173" s="14">
        <v>300</v>
      </c>
      <c r="F173" t="s">
        <v>13</v>
      </c>
    </row>
    <row r="174" spans="1:6">
      <c r="A174" t="s">
        <v>184</v>
      </c>
      <c r="B174">
        <v>6020</v>
      </c>
      <c r="C174">
        <v>6020</v>
      </c>
      <c r="D174" s="14">
        <v>900</v>
      </c>
      <c r="E174" s="14">
        <v>300</v>
      </c>
      <c r="F174" t="s">
        <v>13</v>
      </c>
    </row>
    <row r="175" spans="1:6">
      <c r="A175" t="s">
        <v>185</v>
      </c>
      <c r="B175">
        <v>6440</v>
      </c>
      <c r="C175">
        <v>6440</v>
      </c>
      <c r="D175" s="14">
        <v>900</v>
      </c>
      <c r="E175" s="14">
        <v>300</v>
      </c>
      <c r="F175" t="s">
        <v>13</v>
      </c>
    </row>
    <row r="176" spans="1:6">
      <c r="A176" t="s">
        <v>186</v>
      </c>
      <c r="B176">
        <v>6860</v>
      </c>
      <c r="C176">
        <v>6860</v>
      </c>
      <c r="D176" s="14">
        <v>900</v>
      </c>
      <c r="E176" s="14">
        <v>300</v>
      </c>
      <c r="F176" t="s">
        <v>13</v>
      </c>
    </row>
    <row r="177" spans="1:6">
      <c r="A177" t="s">
        <v>187</v>
      </c>
      <c r="B177">
        <v>7280</v>
      </c>
      <c r="C177">
        <v>7280</v>
      </c>
      <c r="D177" s="14">
        <v>900</v>
      </c>
      <c r="E177" s="14">
        <v>300</v>
      </c>
      <c r="F177" t="s">
        <v>13</v>
      </c>
    </row>
    <row r="178" spans="1:6">
      <c r="A178" t="s">
        <v>188</v>
      </c>
      <c r="B178">
        <v>7700</v>
      </c>
      <c r="C178">
        <v>7700</v>
      </c>
      <c r="D178" s="14">
        <v>900</v>
      </c>
      <c r="E178" s="14">
        <v>300</v>
      </c>
      <c r="F178" t="s">
        <v>13</v>
      </c>
    </row>
    <row r="179" spans="1:6">
      <c r="A179" t="s">
        <v>189</v>
      </c>
      <c r="B179">
        <v>8120</v>
      </c>
      <c r="C179">
        <v>8120</v>
      </c>
      <c r="D179" s="14">
        <v>900</v>
      </c>
      <c r="E179" s="14">
        <v>300</v>
      </c>
      <c r="F179" t="s">
        <v>13</v>
      </c>
    </row>
    <row r="180" spans="1:6">
      <c r="A180" t="s">
        <v>190</v>
      </c>
      <c r="B180">
        <v>8540</v>
      </c>
      <c r="C180">
        <v>8540</v>
      </c>
      <c r="D180" s="14">
        <v>900</v>
      </c>
      <c r="E180" s="14">
        <v>300</v>
      </c>
      <c r="F180" t="s">
        <v>13</v>
      </c>
    </row>
    <row r="181" spans="1:6">
      <c r="A181" t="s">
        <v>191</v>
      </c>
      <c r="B181">
        <v>8960</v>
      </c>
      <c r="C181">
        <v>8960</v>
      </c>
      <c r="D181" s="14">
        <v>900</v>
      </c>
      <c r="E181" s="14">
        <v>300</v>
      </c>
      <c r="F181" t="s">
        <v>13</v>
      </c>
    </row>
    <row r="182" spans="1:6">
      <c r="A182" t="s">
        <v>192</v>
      </c>
      <c r="B182">
        <v>9380</v>
      </c>
      <c r="C182">
        <v>9380</v>
      </c>
      <c r="D182" s="14">
        <v>900</v>
      </c>
      <c r="E182" s="14">
        <v>300</v>
      </c>
      <c r="F182" t="s">
        <v>13</v>
      </c>
    </row>
    <row r="183" spans="1:6">
      <c r="A183" t="s">
        <v>193</v>
      </c>
      <c r="B183">
        <v>7200</v>
      </c>
      <c r="C183">
        <v>7200</v>
      </c>
      <c r="D183" s="14">
        <v>1200</v>
      </c>
      <c r="E183" s="14">
        <v>300</v>
      </c>
      <c r="F183" t="s">
        <v>13</v>
      </c>
    </row>
    <row r="184" spans="1:6">
      <c r="A184" t="s">
        <v>194</v>
      </c>
      <c r="B184">
        <v>7740</v>
      </c>
      <c r="C184">
        <v>7740</v>
      </c>
      <c r="D184" s="14">
        <v>1200</v>
      </c>
      <c r="E184" s="14">
        <v>300</v>
      </c>
      <c r="F184" t="s">
        <v>13</v>
      </c>
    </row>
    <row r="185" spans="1:6">
      <c r="A185" t="s">
        <v>195</v>
      </c>
      <c r="B185">
        <v>8280</v>
      </c>
      <c r="C185">
        <v>8280</v>
      </c>
      <c r="D185" s="14">
        <v>1200</v>
      </c>
      <c r="E185" s="14">
        <v>300</v>
      </c>
      <c r="F185" t="s">
        <v>13</v>
      </c>
    </row>
    <row r="186" spans="1:6">
      <c r="A186" t="s">
        <v>196</v>
      </c>
      <c r="B186">
        <v>8820</v>
      </c>
      <c r="C186">
        <v>8820</v>
      </c>
      <c r="D186" s="14">
        <v>1200</v>
      </c>
      <c r="E186" s="14">
        <v>300</v>
      </c>
      <c r="F186" t="s">
        <v>13</v>
      </c>
    </row>
    <row r="187" spans="1:6">
      <c r="A187" t="s">
        <v>197</v>
      </c>
      <c r="B187">
        <v>9360</v>
      </c>
      <c r="C187">
        <v>9360</v>
      </c>
      <c r="D187" s="14">
        <v>1200</v>
      </c>
      <c r="E187" s="14">
        <v>300</v>
      </c>
      <c r="F187" t="s">
        <v>13</v>
      </c>
    </row>
    <row r="188" spans="1:6">
      <c r="A188" t="s">
        <v>198</v>
      </c>
      <c r="B188">
        <v>9900</v>
      </c>
      <c r="C188">
        <v>9900</v>
      </c>
      <c r="D188" s="14">
        <v>1200</v>
      </c>
      <c r="E188" s="14">
        <v>300</v>
      </c>
      <c r="F188" t="s">
        <v>13</v>
      </c>
    </row>
    <row r="189" spans="1:6">
      <c r="A189" t="s">
        <v>199</v>
      </c>
      <c r="B189">
        <v>10440</v>
      </c>
      <c r="C189">
        <v>10440</v>
      </c>
      <c r="D189" s="14">
        <v>1200</v>
      </c>
      <c r="E189" s="14">
        <v>300</v>
      </c>
      <c r="F189" t="s">
        <v>13</v>
      </c>
    </row>
    <row r="190" spans="1:6">
      <c r="A190" t="s">
        <v>200</v>
      </c>
      <c r="B190">
        <v>10980</v>
      </c>
      <c r="C190">
        <v>10980</v>
      </c>
      <c r="D190" s="14">
        <v>1200</v>
      </c>
      <c r="E190" s="14">
        <v>300</v>
      </c>
      <c r="F190" t="s">
        <v>13</v>
      </c>
    </row>
    <row r="191" spans="1:6">
      <c r="A191" t="s">
        <v>201</v>
      </c>
      <c r="B191">
        <v>11520</v>
      </c>
      <c r="C191">
        <v>11520</v>
      </c>
      <c r="D191" s="14">
        <v>1200</v>
      </c>
      <c r="E191" s="14">
        <v>300</v>
      </c>
      <c r="F191" t="s">
        <v>13</v>
      </c>
    </row>
    <row r="192" spans="1:6">
      <c r="A192" t="s">
        <v>202</v>
      </c>
      <c r="B192">
        <v>12060</v>
      </c>
      <c r="C192">
        <v>12060</v>
      </c>
      <c r="D192" s="14">
        <v>1200</v>
      </c>
      <c r="E192" s="14">
        <v>300</v>
      </c>
      <c r="F192" t="s">
        <v>13</v>
      </c>
    </row>
    <row r="193" spans="1:6">
      <c r="A193" t="s">
        <v>203</v>
      </c>
      <c r="B193">
        <v>10120</v>
      </c>
      <c r="C193">
        <v>10120</v>
      </c>
      <c r="D193" s="14">
        <v>1200</v>
      </c>
      <c r="E193" s="14">
        <v>300</v>
      </c>
      <c r="F193" t="s">
        <v>13</v>
      </c>
    </row>
    <row r="194" spans="1:6">
      <c r="A194" t="s">
        <v>204</v>
      </c>
      <c r="B194">
        <v>11000</v>
      </c>
      <c r="C194">
        <v>11000</v>
      </c>
      <c r="D194" s="14">
        <v>1200</v>
      </c>
      <c r="E194" s="14">
        <v>300</v>
      </c>
      <c r="F194" t="s">
        <v>13</v>
      </c>
    </row>
    <row r="195" spans="1:6">
      <c r="A195" t="s">
        <v>205</v>
      </c>
      <c r="B195">
        <v>11880</v>
      </c>
      <c r="C195">
        <v>11880</v>
      </c>
      <c r="D195" s="14">
        <v>1200</v>
      </c>
      <c r="E195" s="14">
        <v>300</v>
      </c>
      <c r="F195" t="s">
        <v>13</v>
      </c>
    </row>
    <row r="196" spans="1:6">
      <c r="A196" t="s">
        <v>206</v>
      </c>
      <c r="B196">
        <v>12760</v>
      </c>
      <c r="C196">
        <v>12760</v>
      </c>
      <c r="D196" s="14">
        <v>1200</v>
      </c>
      <c r="E196" s="14">
        <v>300</v>
      </c>
      <c r="F196" t="s">
        <v>13</v>
      </c>
    </row>
    <row r="197" spans="1:6">
      <c r="A197" t="s">
        <v>207</v>
      </c>
      <c r="B197">
        <v>13640</v>
      </c>
      <c r="C197">
        <v>13640</v>
      </c>
      <c r="D197" s="14">
        <v>1200</v>
      </c>
      <c r="E197" s="14">
        <v>300</v>
      </c>
      <c r="F197" t="s">
        <v>13</v>
      </c>
    </row>
    <row r="198" spans="1:6">
      <c r="A198" t="s">
        <v>208</v>
      </c>
      <c r="B198">
        <v>14520</v>
      </c>
      <c r="C198">
        <v>14520</v>
      </c>
      <c r="D198" s="14">
        <v>1200</v>
      </c>
      <c r="E198" s="14">
        <v>300</v>
      </c>
      <c r="F198" t="s">
        <v>13</v>
      </c>
    </row>
    <row r="199" spans="1:6">
      <c r="A199" t="s">
        <v>209</v>
      </c>
      <c r="B199">
        <v>15400</v>
      </c>
      <c r="C199">
        <v>15400</v>
      </c>
      <c r="D199" s="14">
        <v>1200</v>
      </c>
      <c r="E199" s="14">
        <v>300</v>
      </c>
      <c r="F199" t="s">
        <v>13</v>
      </c>
    </row>
    <row r="200" spans="1:6">
      <c r="A200" t="s">
        <v>210</v>
      </c>
      <c r="B200">
        <v>16280</v>
      </c>
      <c r="C200">
        <v>16280</v>
      </c>
      <c r="D200" s="14">
        <v>1200</v>
      </c>
      <c r="E200" s="14">
        <v>300</v>
      </c>
      <c r="F200" t="s">
        <v>13</v>
      </c>
    </row>
    <row r="201" spans="1:6">
      <c r="A201" t="s">
        <v>211</v>
      </c>
      <c r="B201">
        <v>17160</v>
      </c>
      <c r="C201">
        <v>17160</v>
      </c>
      <c r="D201" s="14">
        <v>1200</v>
      </c>
      <c r="E201" s="14">
        <v>300</v>
      </c>
      <c r="F201" t="s">
        <v>13</v>
      </c>
    </row>
    <row r="202" spans="1:6">
      <c r="A202" t="s">
        <v>212</v>
      </c>
      <c r="B202">
        <v>18040</v>
      </c>
      <c r="C202">
        <v>18040</v>
      </c>
      <c r="D202" s="14">
        <v>1200</v>
      </c>
      <c r="E202" s="14">
        <v>300</v>
      </c>
      <c r="F202" t="s">
        <v>13</v>
      </c>
    </row>
    <row r="203" spans="1:6">
      <c r="A203" t="s">
        <v>213</v>
      </c>
      <c r="B203">
        <v>15080</v>
      </c>
      <c r="C203">
        <v>15080</v>
      </c>
      <c r="D203" s="14">
        <v>1600</v>
      </c>
      <c r="E203" s="14">
        <v>300</v>
      </c>
      <c r="F203" t="s">
        <v>13</v>
      </c>
    </row>
    <row r="204" spans="1:6">
      <c r="A204" t="s">
        <v>214</v>
      </c>
      <c r="B204">
        <v>16120</v>
      </c>
      <c r="C204">
        <v>16120</v>
      </c>
      <c r="D204" s="14">
        <v>1600</v>
      </c>
      <c r="E204" s="14">
        <v>300</v>
      </c>
      <c r="F204" t="s">
        <v>13</v>
      </c>
    </row>
    <row r="205" spans="1:6">
      <c r="A205" t="s">
        <v>215</v>
      </c>
      <c r="B205">
        <v>17160</v>
      </c>
      <c r="C205">
        <v>17160</v>
      </c>
      <c r="D205" s="14">
        <v>1600</v>
      </c>
      <c r="E205" s="14">
        <v>300</v>
      </c>
      <c r="F205" t="s">
        <v>13</v>
      </c>
    </row>
    <row r="206" spans="1:6">
      <c r="A206" t="s">
        <v>216</v>
      </c>
      <c r="B206">
        <v>18200</v>
      </c>
      <c r="C206">
        <v>18200</v>
      </c>
      <c r="D206" s="14">
        <v>1600</v>
      </c>
      <c r="E206" s="14">
        <v>300</v>
      </c>
      <c r="F206" t="s">
        <v>13</v>
      </c>
    </row>
    <row r="207" spans="1:6">
      <c r="A207" t="s">
        <v>217</v>
      </c>
      <c r="B207">
        <v>19240</v>
      </c>
      <c r="C207">
        <v>19240</v>
      </c>
      <c r="D207" s="14">
        <v>1600</v>
      </c>
      <c r="E207" s="14">
        <v>300</v>
      </c>
      <c r="F207" t="s">
        <v>13</v>
      </c>
    </row>
    <row r="208" spans="1:6">
      <c r="A208" t="s">
        <v>218</v>
      </c>
      <c r="B208">
        <v>20280</v>
      </c>
      <c r="C208">
        <v>20280</v>
      </c>
      <c r="D208" s="14">
        <v>1600</v>
      </c>
      <c r="E208" s="14">
        <v>300</v>
      </c>
      <c r="F208" t="s">
        <v>13</v>
      </c>
    </row>
    <row r="209" spans="1:6">
      <c r="A209" t="s">
        <v>219</v>
      </c>
      <c r="B209">
        <v>21320</v>
      </c>
      <c r="C209">
        <v>21320</v>
      </c>
      <c r="D209" s="14">
        <v>1600</v>
      </c>
      <c r="E209" s="14">
        <v>300</v>
      </c>
      <c r="F209" t="s">
        <v>13</v>
      </c>
    </row>
    <row r="210" spans="1:6">
      <c r="A210" t="s">
        <v>220</v>
      </c>
      <c r="B210">
        <v>22360</v>
      </c>
      <c r="C210">
        <v>22360</v>
      </c>
      <c r="D210" s="14">
        <v>1600</v>
      </c>
      <c r="E210" s="14">
        <v>300</v>
      </c>
      <c r="F210" t="s">
        <v>13</v>
      </c>
    </row>
    <row r="211" spans="1:6">
      <c r="A211" t="s">
        <v>221</v>
      </c>
      <c r="B211">
        <v>23400</v>
      </c>
      <c r="C211">
        <v>23400</v>
      </c>
      <c r="D211" s="14">
        <v>1600</v>
      </c>
      <c r="E211" s="14">
        <v>300</v>
      </c>
      <c r="F211" t="s">
        <v>13</v>
      </c>
    </row>
    <row r="212" spans="1:6">
      <c r="A212" t="s">
        <v>222</v>
      </c>
      <c r="B212">
        <v>24700</v>
      </c>
      <c r="C212">
        <v>24700</v>
      </c>
      <c r="D212" s="14">
        <v>1600</v>
      </c>
      <c r="E212" s="14">
        <v>300</v>
      </c>
      <c r="F21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M40"/>
  <sheetViews>
    <sheetView topLeftCell="A13" workbookViewId="0">
      <selection activeCell="Y40" sqref="Y40:Z40"/>
    </sheetView>
  </sheetViews>
  <sheetFormatPr defaultColWidth="9" defaultRowHeight="20" customHeight="1"/>
  <cols>
    <col min="1" max="1" width="6.875" style="3" customWidth="1"/>
    <col min="2" max="2" width="9" style="3"/>
    <col min="3" max="3" width="11.875" style="3" customWidth="1"/>
    <col min="4" max="4" width="13.125" style="3" customWidth="1"/>
    <col min="5" max="14" width="6" style="3" hidden="1" customWidth="1"/>
    <col min="15" max="36" width="6" style="3" customWidth="1"/>
    <col min="37" max="39" width="6" style="4" hidden="1" customWidth="1"/>
    <col min="40" max="46" width="6" style="3" customWidth="1"/>
    <col min="47" max="16384" width="9" style="3"/>
  </cols>
  <sheetData>
    <row r="2" customHeight="1" spans="1:14">
      <c r="A2" s="5" t="s">
        <v>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Height="1" spans="1:39">
      <c r="A3" s="7" t="s">
        <v>224</v>
      </c>
      <c r="B3" s="7" t="s">
        <v>225</v>
      </c>
      <c r="C3" s="8"/>
      <c r="D3" s="8"/>
      <c r="E3" s="9" t="s">
        <v>226</v>
      </c>
      <c r="F3" s="10"/>
      <c r="G3" s="10"/>
      <c r="H3" s="10"/>
      <c r="I3" s="10"/>
      <c r="J3" s="10"/>
      <c r="K3" s="10"/>
      <c r="L3" s="10"/>
      <c r="M3" s="10"/>
      <c r="N3" s="10"/>
      <c r="O3" s="22" t="s">
        <v>227</v>
      </c>
      <c r="P3" s="23"/>
      <c r="Q3" s="23"/>
      <c r="R3" s="23"/>
      <c r="S3" s="23"/>
      <c r="T3" s="23"/>
      <c r="U3" s="23"/>
      <c r="V3" s="23"/>
      <c r="W3" s="23"/>
      <c r="X3" s="23"/>
      <c r="Y3" s="22" t="s">
        <v>228</v>
      </c>
      <c r="Z3" s="23"/>
      <c r="AA3" s="9" t="s">
        <v>229</v>
      </c>
      <c r="AB3" s="10"/>
      <c r="AC3" s="10"/>
      <c r="AD3" s="10"/>
      <c r="AE3" s="10"/>
      <c r="AF3" s="10"/>
      <c r="AG3" s="10"/>
      <c r="AH3" s="10"/>
      <c r="AI3" s="10"/>
      <c r="AJ3" s="10"/>
      <c r="AK3" s="30" t="s">
        <v>230</v>
      </c>
      <c r="AL3" s="31"/>
      <c r="AM3" s="31"/>
    </row>
    <row r="4" customHeight="1" spans="1:39">
      <c r="A4" s="8"/>
      <c r="B4" s="7" t="s">
        <v>231</v>
      </c>
      <c r="C4" s="7" t="s">
        <v>232</v>
      </c>
      <c r="D4" s="7" t="s">
        <v>233</v>
      </c>
      <c r="E4" s="11" t="s">
        <v>234</v>
      </c>
      <c r="F4" s="11" t="s">
        <v>235</v>
      </c>
      <c r="G4" s="11" t="s">
        <v>236</v>
      </c>
      <c r="H4" s="11" t="s">
        <v>237</v>
      </c>
      <c r="I4" s="11" t="s">
        <v>238</v>
      </c>
      <c r="J4" s="11" t="s">
        <v>239</v>
      </c>
      <c r="K4" s="11" t="s">
        <v>240</v>
      </c>
      <c r="L4" s="11" t="s">
        <v>241</v>
      </c>
      <c r="M4" s="11" t="s">
        <v>242</v>
      </c>
      <c r="N4" s="11" t="s">
        <v>243</v>
      </c>
      <c r="O4" s="11" t="s">
        <v>234</v>
      </c>
      <c r="P4" s="11" t="s">
        <v>235</v>
      </c>
      <c r="Q4" s="11" t="s">
        <v>236</v>
      </c>
      <c r="R4" s="11" t="s">
        <v>237</v>
      </c>
      <c r="S4" s="11" t="s">
        <v>238</v>
      </c>
      <c r="T4" s="11" t="s">
        <v>239</v>
      </c>
      <c r="U4" s="11" t="s">
        <v>240</v>
      </c>
      <c r="V4" s="11" t="s">
        <v>241</v>
      </c>
      <c r="W4" s="11" t="s">
        <v>242</v>
      </c>
      <c r="X4" s="11" t="s">
        <v>243</v>
      </c>
      <c r="Y4" s="26" t="s">
        <v>244</v>
      </c>
      <c r="Z4" s="26" t="s">
        <v>245</v>
      </c>
      <c r="AA4" s="11" t="s">
        <v>234</v>
      </c>
      <c r="AB4" s="11" t="s">
        <v>235</v>
      </c>
      <c r="AC4" s="11" t="s">
        <v>236</v>
      </c>
      <c r="AD4" s="11" t="s">
        <v>237</v>
      </c>
      <c r="AE4" s="11" t="s">
        <v>238</v>
      </c>
      <c r="AF4" s="11" t="s">
        <v>239</v>
      </c>
      <c r="AG4" s="11" t="s">
        <v>240</v>
      </c>
      <c r="AH4" s="11" t="s">
        <v>241</v>
      </c>
      <c r="AI4" s="11" t="s">
        <v>242</v>
      </c>
      <c r="AJ4" s="11" t="s">
        <v>243</v>
      </c>
      <c r="AK4" s="32" t="s">
        <v>246</v>
      </c>
      <c r="AL4" s="32" t="s">
        <v>247</v>
      </c>
      <c r="AM4" s="32" t="s">
        <v>248</v>
      </c>
    </row>
    <row r="5" ht="25" customHeight="1" spans="1:39">
      <c r="A5" s="12" t="s">
        <v>249</v>
      </c>
      <c r="B5" s="13" t="s">
        <v>250</v>
      </c>
      <c r="C5" s="13" t="s">
        <v>251</v>
      </c>
      <c r="D5" s="13" t="s">
        <v>252</v>
      </c>
      <c r="E5" s="14">
        <v>120</v>
      </c>
      <c r="F5" s="14">
        <v>129</v>
      </c>
      <c r="G5" s="14">
        <v>138</v>
      </c>
      <c r="H5" s="14">
        <v>147</v>
      </c>
      <c r="I5" s="14">
        <v>156</v>
      </c>
      <c r="J5" s="14">
        <v>165</v>
      </c>
      <c r="K5" s="14">
        <v>174</v>
      </c>
      <c r="L5" s="14">
        <v>183</v>
      </c>
      <c r="M5" s="14">
        <v>192</v>
      </c>
      <c r="N5" s="14">
        <v>201</v>
      </c>
      <c r="O5" s="14">
        <f>E5*40</f>
        <v>4800</v>
      </c>
      <c r="P5" s="14">
        <f t="shared" ref="P5:X5" si="0">F5*40</f>
        <v>5160</v>
      </c>
      <c r="Q5" s="14">
        <f t="shared" si="0"/>
        <v>5520</v>
      </c>
      <c r="R5" s="14">
        <f t="shared" si="0"/>
        <v>5880</v>
      </c>
      <c r="S5" s="14">
        <f t="shared" si="0"/>
        <v>6240</v>
      </c>
      <c r="T5" s="14">
        <f t="shared" si="0"/>
        <v>6600</v>
      </c>
      <c r="U5" s="14">
        <f t="shared" si="0"/>
        <v>6960</v>
      </c>
      <c r="V5" s="14">
        <f t="shared" si="0"/>
        <v>7320</v>
      </c>
      <c r="W5" s="14">
        <f t="shared" si="0"/>
        <v>7680</v>
      </c>
      <c r="X5" s="14">
        <f t="shared" si="0"/>
        <v>8040</v>
      </c>
      <c r="Y5" s="14">
        <v>900</v>
      </c>
      <c r="Z5" s="14">
        <v>300</v>
      </c>
      <c r="AA5" s="27">
        <f>O5+1200</f>
        <v>6000</v>
      </c>
      <c r="AB5" s="27">
        <f t="shared" ref="AB5:AK5" si="1">P5+1200</f>
        <v>6360</v>
      </c>
      <c r="AC5" s="27">
        <f t="shared" si="1"/>
        <v>6720</v>
      </c>
      <c r="AD5" s="27">
        <f t="shared" si="1"/>
        <v>7080</v>
      </c>
      <c r="AE5" s="27">
        <f t="shared" si="1"/>
        <v>7440</v>
      </c>
      <c r="AF5" s="27">
        <f t="shared" si="1"/>
        <v>7800</v>
      </c>
      <c r="AG5" s="27">
        <f t="shared" si="1"/>
        <v>8160</v>
      </c>
      <c r="AH5" s="27">
        <f t="shared" si="1"/>
        <v>8520</v>
      </c>
      <c r="AI5" s="27">
        <f t="shared" si="1"/>
        <v>8880</v>
      </c>
      <c r="AJ5" s="27">
        <f t="shared" si="1"/>
        <v>9240</v>
      </c>
      <c r="AK5" s="33">
        <f>AJ5</f>
        <v>9240</v>
      </c>
      <c r="AL5" s="33">
        <f>AA5</f>
        <v>6000</v>
      </c>
      <c r="AM5" s="33">
        <f>(F5-E5)*40</f>
        <v>360</v>
      </c>
    </row>
    <row r="6" customHeight="1" spans="1:39">
      <c r="A6" s="12" t="s">
        <v>253</v>
      </c>
      <c r="B6" s="13" t="s">
        <v>254</v>
      </c>
      <c r="C6" s="13" t="s">
        <v>255</v>
      </c>
      <c r="D6" s="13" t="s">
        <v>256</v>
      </c>
      <c r="E6" s="14">
        <v>154</v>
      </c>
      <c r="F6" s="14">
        <v>164.5</v>
      </c>
      <c r="G6" s="14">
        <v>175</v>
      </c>
      <c r="H6" s="14">
        <v>185.5</v>
      </c>
      <c r="I6" s="14">
        <v>196</v>
      </c>
      <c r="J6" s="14">
        <v>206.5</v>
      </c>
      <c r="K6" s="14">
        <v>217</v>
      </c>
      <c r="L6" s="14">
        <v>227.5</v>
      </c>
      <c r="M6" s="14">
        <v>238</v>
      </c>
      <c r="N6" s="14">
        <v>248.5</v>
      </c>
      <c r="O6" s="14">
        <f>E6*40</f>
        <v>6160</v>
      </c>
      <c r="P6" s="14">
        <f t="shared" ref="P6:X6" si="2">F6*40</f>
        <v>6580</v>
      </c>
      <c r="Q6" s="14">
        <f t="shared" si="2"/>
        <v>7000</v>
      </c>
      <c r="R6" s="14">
        <f t="shared" si="2"/>
        <v>7420</v>
      </c>
      <c r="S6" s="14">
        <f t="shared" si="2"/>
        <v>7840</v>
      </c>
      <c r="T6" s="14">
        <f t="shared" si="2"/>
        <v>8260</v>
      </c>
      <c r="U6" s="14">
        <f t="shared" si="2"/>
        <v>8680</v>
      </c>
      <c r="V6" s="14">
        <f t="shared" si="2"/>
        <v>9100</v>
      </c>
      <c r="W6" s="14">
        <f t="shared" si="2"/>
        <v>9520</v>
      </c>
      <c r="X6" s="14">
        <f t="shared" si="2"/>
        <v>9940</v>
      </c>
      <c r="Y6" s="14">
        <v>900</v>
      </c>
      <c r="Z6" s="14">
        <v>300</v>
      </c>
      <c r="AA6" s="27">
        <f>O6+1200</f>
        <v>7360</v>
      </c>
      <c r="AB6" s="27">
        <f t="shared" ref="AB6:AK6" si="3">P6+1200</f>
        <v>7780</v>
      </c>
      <c r="AC6" s="27">
        <f t="shared" si="3"/>
        <v>8200</v>
      </c>
      <c r="AD6" s="27">
        <f t="shared" si="3"/>
        <v>8620</v>
      </c>
      <c r="AE6" s="27">
        <f t="shared" si="3"/>
        <v>9040</v>
      </c>
      <c r="AF6" s="27">
        <f t="shared" si="3"/>
        <v>9460</v>
      </c>
      <c r="AG6" s="27">
        <f t="shared" si="3"/>
        <v>9880</v>
      </c>
      <c r="AH6" s="27">
        <f t="shared" si="3"/>
        <v>10300</v>
      </c>
      <c r="AI6" s="27">
        <f t="shared" si="3"/>
        <v>10720</v>
      </c>
      <c r="AJ6" s="27">
        <f t="shared" si="3"/>
        <v>11140</v>
      </c>
      <c r="AK6" s="33">
        <f>AJ6</f>
        <v>11140</v>
      </c>
      <c r="AL6" s="33">
        <f>AA6</f>
        <v>7360</v>
      </c>
      <c r="AM6" s="33">
        <f>(F6-E6)*40</f>
        <v>420</v>
      </c>
    </row>
    <row r="7" ht="22" customHeight="1" spans="1:39">
      <c r="A7" s="12" t="s">
        <v>257</v>
      </c>
      <c r="B7" s="13" t="s">
        <v>258</v>
      </c>
      <c r="C7" s="13" t="s">
        <v>259</v>
      </c>
      <c r="D7" s="13" t="s">
        <v>260</v>
      </c>
      <c r="E7" s="14">
        <v>220</v>
      </c>
      <c r="F7" s="14">
        <v>240</v>
      </c>
      <c r="G7" s="14">
        <v>260</v>
      </c>
      <c r="H7" s="14">
        <v>280</v>
      </c>
      <c r="I7" s="14">
        <v>300</v>
      </c>
      <c r="J7" s="14">
        <v>320</v>
      </c>
      <c r="K7" s="14">
        <v>340</v>
      </c>
      <c r="L7" s="14">
        <v>360</v>
      </c>
      <c r="M7" s="14">
        <v>380</v>
      </c>
      <c r="N7" s="14">
        <v>400</v>
      </c>
      <c r="O7" s="14">
        <f>E7*40</f>
        <v>8800</v>
      </c>
      <c r="P7" s="14">
        <f t="shared" ref="P7:X7" si="4">F7*40</f>
        <v>9600</v>
      </c>
      <c r="Q7" s="14">
        <f t="shared" si="4"/>
        <v>10400</v>
      </c>
      <c r="R7" s="14">
        <f t="shared" si="4"/>
        <v>11200</v>
      </c>
      <c r="S7" s="14">
        <f t="shared" si="4"/>
        <v>12000</v>
      </c>
      <c r="T7" s="14">
        <f t="shared" si="4"/>
        <v>12800</v>
      </c>
      <c r="U7" s="14">
        <f t="shared" si="4"/>
        <v>13600</v>
      </c>
      <c r="V7" s="14">
        <f t="shared" si="4"/>
        <v>14400</v>
      </c>
      <c r="W7" s="14">
        <f t="shared" si="4"/>
        <v>15200</v>
      </c>
      <c r="X7" s="14">
        <f t="shared" si="4"/>
        <v>16000</v>
      </c>
      <c r="Y7" s="14">
        <v>1200</v>
      </c>
      <c r="Z7" s="14">
        <v>300</v>
      </c>
      <c r="AA7" s="27">
        <f>O7+1500</f>
        <v>10300</v>
      </c>
      <c r="AB7" s="27">
        <f t="shared" ref="AB7:AK7" si="5">P7+1500</f>
        <v>11100</v>
      </c>
      <c r="AC7" s="27">
        <f t="shared" si="5"/>
        <v>11900</v>
      </c>
      <c r="AD7" s="27">
        <f t="shared" si="5"/>
        <v>12700</v>
      </c>
      <c r="AE7" s="27">
        <f t="shared" si="5"/>
        <v>13500</v>
      </c>
      <c r="AF7" s="27">
        <f t="shared" si="5"/>
        <v>14300</v>
      </c>
      <c r="AG7" s="27">
        <f t="shared" si="5"/>
        <v>15100</v>
      </c>
      <c r="AH7" s="27">
        <f t="shared" si="5"/>
        <v>15900</v>
      </c>
      <c r="AI7" s="27">
        <f t="shared" si="5"/>
        <v>16700</v>
      </c>
      <c r="AJ7" s="27">
        <f t="shared" si="5"/>
        <v>17500</v>
      </c>
      <c r="AK7" s="33">
        <f>AJ7</f>
        <v>17500</v>
      </c>
      <c r="AL7" s="33">
        <f>AA7</f>
        <v>10300</v>
      </c>
      <c r="AM7" s="33">
        <f>(F7-E7)*40</f>
        <v>800</v>
      </c>
    </row>
    <row r="8" ht="22" customHeight="1" spans="1:39">
      <c r="A8" s="12" t="s">
        <v>261</v>
      </c>
      <c r="B8" s="13" t="s">
        <v>262</v>
      </c>
      <c r="C8" s="13" t="s">
        <v>263</v>
      </c>
      <c r="D8" s="13" t="s">
        <v>264</v>
      </c>
      <c r="E8" s="14">
        <v>322</v>
      </c>
      <c r="F8" s="14">
        <v>350</v>
      </c>
      <c r="G8" s="14">
        <v>378</v>
      </c>
      <c r="H8" s="14">
        <v>406</v>
      </c>
      <c r="I8" s="14">
        <v>434</v>
      </c>
      <c r="J8" s="14">
        <v>462</v>
      </c>
      <c r="K8" s="14">
        <v>490</v>
      </c>
      <c r="L8" s="14">
        <v>518</v>
      </c>
      <c r="M8" s="14">
        <v>546</v>
      </c>
      <c r="N8" s="14">
        <v>574</v>
      </c>
      <c r="O8" s="14">
        <f>E8*40</f>
        <v>12880</v>
      </c>
      <c r="P8" s="14">
        <f t="shared" ref="P8:X8" si="6">F8*40</f>
        <v>14000</v>
      </c>
      <c r="Q8" s="14">
        <f t="shared" si="6"/>
        <v>15120</v>
      </c>
      <c r="R8" s="14">
        <f t="shared" si="6"/>
        <v>16240</v>
      </c>
      <c r="S8" s="14">
        <f t="shared" si="6"/>
        <v>17360</v>
      </c>
      <c r="T8" s="14">
        <f t="shared" si="6"/>
        <v>18480</v>
      </c>
      <c r="U8" s="14">
        <f t="shared" si="6"/>
        <v>19600</v>
      </c>
      <c r="V8" s="14">
        <f t="shared" si="6"/>
        <v>20720</v>
      </c>
      <c r="W8" s="14">
        <f t="shared" si="6"/>
        <v>21840</v>
      </c>
      <c r="X8" s="14">
        <f t="shared" si="6"/>
        <v>22960</v>
      </c>
      <c r="Y8" s="14">
        <v>1200</v>
      </c>
      <c r="Z8" s="14">
        <v>300</v>
      </c>
      <c r="AA8" s="27">
        <f>O8+1500</f>
        <v>14380</v>
      </c>
      <c r="AB8" s="27">
        <f t="shared" ref="AB8:AK8" si="7">P8+1500</f>
        <v>15500</v>
      </c>
      <c r="AC8" s="27">
        <f t="shared" si="7"/>
        <v>16620</v>
      </c>
      <c r="AD8" s="27">
        <f t="shared" si="7"/>
        <v>17740</v>
      </c>
      <c r="AE8" s="27">
        <f t="shared" si="7"/>
        <v>18860</v>
      </c>
      <c r="AF8" s="27">
        <f t="shared" si="7"/>
        <v>19980</v>
      </c>
      <c r="AG8" s="27">
        <f t="shared" si="7"/>
        <v>21100</v>
      </c>
      <c r="AH8" s="27">
        <f t="shared" si="7"/>
        <v>22220</v>
      </c>
      <c r="AI8" s="27">
        <f t="shared" si="7"/>
        <v>23340</v>
      </c>
      <c r="AJ8" s="27">
        <f t="shared" si="7"/>
        <v>24460</v>
      </c>
      <c r="AK8" s="33">
        <f>AJ8</f>
        <v>24460</v>
      </c>
      <c r="AL8" s="33">
        <f>AA8</f>
        <v>14380</v>
      </c>
      <c r="AM8" s="33">
        <f>(F8-E8)*40</f>
        <v>1120</v>
      </c>
    </row>
    <row r="9" ht="24" customHeight="1" spans="1:39">
      <c r="A9" s="12" t="s">
        <v>265</v>
      </c>
      <c r="B9" s="13" t="s">
        <v>266</v>
      </c>
      <c r="C9" s="13" t="s">
        <v>267</v>
      </c>
      <c r="D9" s="13" t="s">
        <v>268</v>
      </c>
      <c r="E9" s="14">
        <v>345</v>
      </c>
      <c r="F9" s="14">
        <v>382.5</v>
      </c>
      <c r="G9" s="14">
        <v>420</v>
      </c>
      <c r="H9" s="14">
        <v>457.5</v>
      </c>
      <c r="I9" s="14">
        <v>495</v>
      </c>
      <c r="J9" s="14">
        <v>532.5</v>
      </c>
      <c r="K9" s="14">
        <v>570</v>
      </c>
      <c r="L9" s="14">
        <v>607.5</v>
      </c>
      <c r="M9" s="14">
        <v>645</v>
      </c>
      <c r="N9" s="14">
        <v>682.5</v>
      </c>
      <c r="O9" s="14">
        <f>E9*40</f>
        <v>13800</v>
      </c>
      <c r="P9" s="14">
        <f t="shared" ref="P9:X9" si="8">F9*40</f>
        <v>15300</v>
      </c>
      <c r="Q9" s="14">
        <f t="shared" si="8"/>
        <v>16800</v>
      </c>
      <c r="R9" s="14">
        <f t="shared" si="8"/>
        <v>18300</v>
      </c>
      <c r="S9" s="14">
        <f t="shared" si="8"/>
        <v>19800</v>
      </c>
      <c r="T9" s="14">
        <f t="shared" si="8"/>
        <v>21300</v>
      </c>
      <c r="U9" s="14">
        <f t="shared" si="8"/>
        <v>22800</v>
      </c>
      <c r="V9" s="14">
        <f t="shared" si="8"/>
        <v>24300</v>
      </c>
      <c r="W9" s="14">
        <f t="shared" si="8"/>
        <v>25800</v>
      </c>
      <c r="X9" s="14">
        <f t="shared" si="8"/>
        <v>27300</v>
      </c>
      <c r="Y9" s="14">
        <v>1600</v>
      </c>
      <c r="Z9" s="14">
        <v>300</v>
      </c>
      <c r="AA9" s="27">
        <f>O9+1900</f>
        <v>15700</v>
      </c>
      <c r="AB9" s="27">
        <f t="shared" ref="AB9:AK9" si="9">P9+1900</f>
        <v>17200</v>
      </c>
      <c r="AC9" s="27">
        <f t="shared" si="9"/>
        <v>18700</v>
      </c>
      <c r="AD9" s="27">
        <f t="shared" si="9"/>
        <v>20200</v>
      </c>
      <c r="AE9" s="27">
        <f t="shared" si="9"/>
        <v>21700</v>
      </c>
      <c r="AF9" s="27">
        <f t="shared" si="9"/>
        <v>23200</v>
      </c>
      <c r="AG9" s="27">
        <f t="shared" si="9"/>
        <v>24700</v>
      </c>
      <c r="AH9" s="27">
        <f t="shared" si="9"/>
        <v>26200</v>
      </c>
      <c r="AI9" s="27">
        <f t="shared" si="9"/>
        <v>27700</v>
      </c>
      <c r="AJ9" s="27">
        <f t="shared" si="9"/>
        <v>29200</v>
      </c>
      <c r="AK9" s="33">
        <f>AJ9</f>
        <v>29200</v>
      </c>
      <c r="AL9" s="33">
        <f>AA9</f>
        <v>15700</v>
      </c>
      <c r="AM9" s="33">
        <f>(F9-E9)*40</f>
        <v>1500</v>
      </c>
    </row>
    <row r="10" customHeight="1" spans="1:3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5"/>
      <c r="AL10" s="25"/>
      <c r="AM10" s="25"/>
    </row>
    <row r="11" customHeight="1" spans="1:1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Height="1" spans="1:14">
      <c r="A12" s="5" t="s">
        <v>269</v>
      </c>
      <c r="B12" s="6"/>
      <c r="C12" s="6"/>
      <c r="D12" s="6"/>
      <c r="E12" s="6"/>
      <c r="F12" s="6"/>
      <c r="G12" s="6"/>
      <c r="H12" s="6"/>
      <c r="I12" s="6"/>
      <c r="J12" s="6"/>
      <c r="K12" s="24"/>
      <c r="L12" s="24"/>
      <c r="M12" s="24"/>
      <c r="N12" s="24"/>
    </row>
    <row r="13" customHeight="1" spans="1:39">
      <c r="A13" s="7" t="s">
        <v>224</v>
      </c>
      <c r="B13" s="7" t="s">
        <v>270</v>
      </c>
      <c r="C13" s="8"/>
      <c r="D13" s="8"/>
      <c r="E13" s="9" t="s">
        <v>226</v>
      </c>
      <c r="F13" s="10"/>
      <c r="G13" s="10"/>
      <c r="H13" s="10"/>
      <c r="I13" s="10"/>
      <c r="J13" s="10"/>
      <c r="K13" s="10"/>
      <c r="L13" s="10"/>
      <c r="M13" s="10"/>
      <c r="N13" s="10"/>
      <c r="O13" s="22" t="s">
        <v>227</v>
      </c>
      <c r="P13" s="23"/>
      <c r="Q13" s="23"/>
      <c r="R13" s="23"/>
      <c r="S13" s="23"/>
      <c r="T13" s="23"/>
      <c r="U13" s="23"/>
      <c r="V13" s="23"/>
      <c r="W13" s="23"/>
      <c r="X13" s="23"/>
      <c r="Y13" s="22" t="s">
        <v>228</v>
      </c>
      <c r="Z13" s="23"/>
      <c r="AA13" s="9" t="s">
        <v>229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30" t="s">
        <v>230</v>
      </c>
      <c r="AL13" s="31"/>
      <c r="AM13" s="31"/>
    </row>
    <row r="14" customHeight="1" spans="1:39">
      <c r="A14" s="8"/>
      <c r="B14" s="8"/>
      <c r="C14" s="8"/>
      <c r="D14" s="8"/>
      <c r="E14" s="11" t="s">
        <v>234</v>
      </c>
      <c r="F14" s="11" t="s">
        <v>235</v>
      </c>
      <c r="G14" s="11" t="s">
        <v>236</v>
      </c>
      <c r="H14" s="11" t="s">
        <v>237</v>
      </c>
      <c r="I14" s="11" t="s">
        <v>238</v>
      </c>
      <c r="J14" s="11" t="s">
        <v>239</v>
      </c>
      <c r="K14" s="11" t="s">
        <v>240</v>
      </c>
      <c r="L14" s="11" t="s">
        <v>241</v>
      </c>
      <c r="M14" s="11" t="s">
        <v>242</v>
      </c>
      <c r="N14" s="11" t="s">
        <v>243</v>
      </c>
      <c r="O14" s="11" t="s">
        <v>234</v>
      </c>
      <c r="P14" s="11" t="s">
        <v>235</v>
      </c>
      <c r="Q14" s="11" t="s">
        <v>236</v>
      </c>
      <c r="R14" s="11" t="s">
        <v>237</v>
      </c>
      <c r="S14" s="11" t="s">
        <v>238</v>
      </c>
      <c r="T14" s="11" t="s">
        <v>239</v>
      </c>
      <c r="U14" s="11" t="s">
        <v>240</v>
      </c>
      <c r="V14" s="11" t="s">
        <v>241</v>
      </c>
      <c r="W14" s="11" t="s">
        <v>242</v>
      </c>
      <c r="X14" s="11" t="s">
        <v>243</v>
      </c>
      <c r="Y14" s="26" t="s">
        <v>244</v>
      </c>
      <c r="Z14" s="26" t="s">
        <v>245</v>
      </c>
      <c r="AA14" s="11" t="s">
        <v>234</v>
      </c>
      <c r="AB14" s="11" t="s">
        <v>235</v>
      </c>
      <c r="AC14" s="11" t="s">
        <v>236</v>
      </c>
      <c r="AD14" s="11" t="s">
        <v>237</v>
      </c>
      <c r="AE14" s="11" t="s">
        <v>238</v>
      </c>
      <c r="AF14" s="11" t="s">
        <v>239</v>
      </c>
      <c r="AG14" s="11" t="s">
        <v>240</v>
      </c>
      <c r="AH14" s="11" t="s">
        <v>241</v>
      </c>
      <c r="AI14" s="11" t="s">
        <v>242</v>
      </c>
      <c r="AJ14" s="11" t="s">
        <v>243</v>
      </c>
      <c r="AK14" s="32" t="s">
        <v>246</v>
      </c>
      <c r="AL14" s="32" t="s">
        <v>247</v>
      </c>
      <c r="AM14" s="32" t="s">
        <v>248</v>
      </c>
    </row>
    <row r="15" customHeight="1" spans="1:39">
      <c r="A15" s="12" t="s">
        <v>271</v>
      </c>
      <c r="B15" s="15" t="s">
        <v>272</v>
      </c>
      <c r="C15" s="16"/>
      <c r="D15" s="16"/>
      <c r="E15" s="14">
        <v>108</v>
      </c>
      <c r="F15" s="14">
        <v>117</v>
      </c>
      <c r="G15" s="14">
        <v>126</v>
      </c>
      <c r="H15" s="14">
        <v>135</v>
      </c>
      <c r="I15" s="14">
        <v>144</v>
      </c>
      <c r="J15" s="14">
        <v>153</v>
      </c>
      <c r="K15" s="14">
        <v>162</v>
      </c>
      <c r="L15" s="14">
        <v>171</v>
      </c>
      <c r="M15" s="14">
        <v>180</v>
      </c>
      <c r="N15" s="14">
        <v>189</v>
      </c>
      <c r="O15" s="14">
        <f t="shared" ref="O15:O20" si="10">E15*40</f>
        <v>4320</v>
      </c>
      <c r="P15" s="14">
        <f t="shared" ref="P15:X15" si="11">F15*40</f>
        <v>4680</v>
      </c>
      <c r="Q15" s="14">
        <f t="shared" si="11"/>
        <v>5040</v>
      </c>
      <c r="R15" s="14">
        <f t="shared" si="11"/>
        <v>5400</v>
      </c>
      <c r="S15" s="14">
        <f t="shared" si="11"/>
        <v>5760</v>
      </c>
      <c r="T15" s="14">
        <f t="shared" si="11"/>
        <v>6120</v>
      </c>
      <c r="U15" s="14">
        <f t="shared" si="11"/>
        <v>6480</v>
      </c>
      <c r="V15" s="14">
        <f t="shared" si="11"/>
        <v>6840</v>
      </c>
      <c r="W15" s="14">
        <f t="shared" si="11"/>
        <v>7200</v>
      </c>
      <c r="X15" s="14">
        <f t="shared" si="11"/>
        <v>7560</v>
      </c>
      <c r="Y15" s="14">
        <v>900</v>
      </c>
      <c r="Z15" s="14">
        <v>300</v>
      </c>
      <c r="AA15" s="27">
        <f>O15+1200</f>
        <v>5520</v>
      </c>
      <c r="AB15" s="27">
        <f t="shared" ref="AB15:AJ15" si="12">P15+1200</f>
        <v>5880</v>
      </c>
      <c r="AC15" s="27">
        <f t="shared" si="12"/>
        <v>6240</v>
      </c>
      <c r="AD15" s="27">
        <f t="shared" si="12"/>
        <v>6600</v>
      </c>
      <c r="AE15" s="27">
        <f t="shared" si="12"/>
        <v>6960</v>
      </c>
      <c r="AF15" s="27">
        <f t="shared" si="12"/>
        <v>7320</v>
      </c>
      <c r="AG15" s="27">
        <f t="shared" si="12"/>
        <v>7680</v>
      </c>
      <c r="AH15" s="27">
        <f t="shared" si="12"/>
        <v>8040</v>
      </c>
      <c r="AI15" s="27">
        <f t="shared" si="12"/>
        <v>8400</v>
      </c>
      <c r="AJ15" s="27">
        <f t="shared" si="12"/>
        <v>8760</v>
      </c>
      <c r="AK15" s="33">
        <f t="shared" ref="AK15:AK20" si="13">AJ15</f>
        <v>8760</v>
      </c>
      <c r="AL15" s="33">
        <f t="shared" ref="AL15:AL20" si="14">AA15</f>
        <v>5520</v>
      </c>
      <c r="AM15" s="33">
        <f t="shared" ref="AM15:AM20" si="15">(F15-E15)*40</f>
        <v>360</v>
      </c>
    </row>
    <row r="16" customHeight="1" spans="1:39">
      <c r="A16" s="12" t="s">
        <v>273</v>
      </c>
      <c r="B16" s="15" t="s">
        <v>274</v>
      </c>
      <c r="C16" s="16"/>
      <c r="D16" s="16"/>
      <c r="E16" s="14">
        <v>147</v>
      </c>
      <c r="F16" s="14">
        <v>161</v>
      </c>
      <c r="G16" s="14">
        <v>175</v>
      </c>
      <c r="H16" s="14">
        <v>189</v>
      </c>
      <c r="I16" s="14">
        <v>203</v>
      </c>
      <c r="J16" s="14">
        <v>217</v>
      </c>
      <c r="K16" s="14">
        <v>231</v>
      </c>
      <c r="L16" s="14">
        <v>245</v>
      </c>
      <c r="M16" s="14">
        <v>259</v>
      </c>
      <c r="N16" s="14">
        <v>273</v>
      </c>
      <c r="O16" s="14">
        <f t="shared" si="10"/>
        <v>5880</v>
      </c>
      <c r="P16" s="14">
        <f t="shared" ref="P16:X16" si="16">F16*40</f>
        <v>6440</v>
      </c>
      <c r="Q16" s="14">
        <f t="shared" si="16"/>
        <v>7000</v>
      </c>
      <c r="R16" s="14">
        <f t="shared" si="16"/>
        <v>7560</v>
      </c>
      <c r="S16" s="14">
        <f t="shared" si="16"/>
        <v>8120</v>
      </c>
      <c r="T16" s="14">
        <f t="shared" si="16"/>
        <v>8680</v>
      </c>
      <c r="U16" s="14">
        <f t="shared" si="16"/>
        <v>9240</v>
      </c>
      <c r="V16" s="14">
        <f t="shared" si="16"/>
        <v>9800</v>
      </c>
      <c r="W16" s="14">
        <f t="shared" si="16"/>
        <v>10360</v>
      </c>
      <c r="X16" s="14">
        <f t="shared" si="16"/>
        <v>10920</v>
      </c>
      <c r="Y16" s="14">
        <v>900</v>
      </c>
      <c r="Z16" s="14">
        <v>300</v>
      </c>
      <c r="AA16" s="27">
        <f>O16+1200</f>
        <v>7080</v>
      </c>
      <c r="AB16" s="27">
        <f t="shared" ref="AB16:AJ16" si="17">P16+1200</f>
        <v>7640</v>
      </c>
      <c r="AC16" s="27">
        <f t="shared" si="17"/>
        <v>8200</v>
      </c>
      <c r="AD16" s="27">
        <f t="shared" si="17"/>
        <v>8760</v>
      </c>
      <c r="AE16" s="27">
        <f t="shared" si="17"/>
        <v>9320</v>
      </c>
      <c r="AF16" s="27">
        <f t="shared" si="17"/>
        <v>9880</v>
      </c>
      <c r="AG16" s="27">
        <f t="shared" si="17"/>
        <v>10440</v>
      </c>
      <c r="AH16" s="27">
        <f t="shared" si="17"/>
        <v>11000</v>
      </c>
      <c r="AI16" s="27">
        <f t="shared" si="17"/>
        <v>11560</v>
      </c>
      <c r="AJ16" s="27">
        <f t="shared" si="17"/>
        <v>12120</v>
      </c>
      <c r="AK16" s="33">
        <f t="shared" si="13"/>
        <v>12120</v>
      </c>
      <c r="AL16" s="33">
        <f t="shared" si="14"/>
        <v>7080</v>
      </c>
      <c r="AM16" s="33">
        <f t="shared" si="15"/>
        <v>560</v>
      </c>
    </row>
    <row r="17" customHeight="1" spans="1:39">
      <c r="A17" s="12" t="s">
        <v>275</v>
      </c>
      <c r="B17" s="15" t="s">
        <v>276</v>
      </c>
      <c r="C17" s="16"/>
      <c r="D17" s="16"/>
      <c r="E17" s="14">
        <v>168</v>
      </c>
      <c r="F17" s="14">
        <v>184</v>
      </c>
      <c r="G17" s="14">
        <v>200</v>
      </c>
      <c r="H17" s="14">
        <v>216</v>
      </c>
      <c r="I17" s="14">
        <v>232</v>
      </c>
      <c r="J17" s="14">
        <v>248</v>
      </c>
      <c r="K17" s="14">
        <v>264</v>
      </c>
      <c r="L17" s="14">
        <v>280</v>
      </c>
      <c r="M17" s="14">
        <v>296</v>
      </c>
      <c r="N17" s="14">
        <v>312</v>
      </c>
      <c r="O17" s="14">
        <f t="shared" si="10"/>
        <v>6720</v>
      </c>
      <c r="P17" s="14">
        <f t="shared" ref="P17:X17" si="18">F17*40</f>
        <v>7360</v>
      </c>
      <c r="Q17" s="14">
        <f t="shared" si="18"/>
        <v>8000</v>
      </c>
      <c r="R17" s="14">
        <f t="shared" si="18"/>
        <v>8640</v>
      </c>
      <c r="S17" s="14">
        <f t="shared" si="18"/>
        <v>9280</v>
      </c>
      <c r="T17" s="14">
        <f t="shared" si="18"/>
        <v>9920</v>
      </c>
      <c r="U17" s="14">
        <f t="shared" si="18"/>
        <v>10560</v>
      </c>
      <c r="V17" s="14">
        <f t="shared" si="18"/>
        <v>11200</v>
      </c>
      <c r="W17" s="14">
        <f t="shared" si="18"/>
        <v>11840</v>
      </c>
      <c r="X17" s="14">
        <f t="shared" si="18"/>
        <v>12480</v>
      </c>
      <c r="Y17" s="14">
        <v>1200</v>
      </c>
      <c r="Z17" s="14">
        <v>300</v>
      </c>
      <c r="AA17" s="27">
        <f>O17+1500</f>
        <v>8220</v>
      </c>
      <c r="AB17" s="27">
        <f t="shared" ref="AB17:AJ17" si="19">P17+1500</f>
        <v>8860</v>
      </c>
      <c r="AC17" s="27">
        <f t="shared" si="19"/>
        <v>9500</v>
      </c>
      <c r="AD17" s="27">
        <f t="shared" si="19"/>
        <v>10140</v>
      </c>
      <c r="AE17" s="27">
        <f t="shared" si="19"/>
        <v>10780</v>
      </c>
      <c r="AF17" s="27">
        <f t="shared" si="19"/>
        <v>11420</v>
      </c>
      <c r="AG17" s="27">
        <f t="shared" si="19"/>
        <v>12060</v>
      </c>
      <c r="AH17" s="27">
        <f t="shared" si="19"/>
        <v>12700</v>
      </c>
      <c r="AI17" s="27">
        <f t="shared" si="19"/>
        <v>13340</v>
      </c>
      <c r="AJ17" s="27">
        <f t="shared" si="19"/>
        <v>13980</v>
      </c>
      <c r="AK17" s="33">
        <f t="shared" si="13"/>
        <v>13980</v>
      </c>
      <c r="AL17" s="33">
        <f t="shared" si="14"/>
        <v>8220</v>
      </c>
      <c r="AM17" s="33">
        <f t="shared" si="15"/>
        <v>640</v>
      </c>
    </row>
    <row r="18" customHeight="1" spans="1:39">
      <c r="A18" s="12" t="s">
        <v>277</v>
      </c>
      <c r="B18" s="15" t="s">
        <v>278</v>
      </c>
      <c r="C18" s="16"/>
      <c r="D18" s="16"/>
      <c r="E18" s="14">
        <v>288</v>
      </c>
      <c r="F18" s="14">
        <v>306</v>
      </c>
      <c r="G18" s="14">
        <v>324</v>
      </c>
      <c r="H18" s="14">
        <v>342</v>
      </c>
      <c r="I18" s="14">
        <v>360</v>
      </c>
      <c r="J18" s="14">
        <v>378</v>
      </c>
      <c r="K18" s="14">
        <v>396</v>
      </c>
      <c r="L18" s="14">
        <v>414</v>
      </c>
      <c r="M18" s="14">
        <v>432</v>
      </c>
      <c r="N18" s="14">
        <v>450</v>
      </c>
      <c r="O18" s="14">
        <f t="shared" si="10"/>
        <v>11520</v>
      </c>
      <c r="P18" s="14">
        <f t="shared" ref="P18:X18" si="20">F18*40</f>
        <v>12240</v>
      </c>
      <c r="Q18" s="14">
        <f t="shared" si="20"/>
        <v>12960</v>
      </c>
      <c r="R18" s="14">
        <f t="shared" si="20"/>
        <v>13680</v>
      </c>
      <c r="S18" s="14">
        <f t="shared" si="20"/>
        <v>14400</v>
      </c>
      <c r="T18" s="14">
        <f t="shared" si="20"/>
        <v>15120</v>
      </c>
      <c r="U18" s="14">
        <f t="shared" si="20"/>
        <v>15840</v>
      </c>
      <c r="V18" s="14">
        <f t="shared" si="20"/>
        <v>16560</v>
      </c>
      <c r="W18" s="14">
        <f t="shared" si="20"/>
        <v>17280</v>
      </c>
      <c r="X18" s="14">
        <f t="shared" si="20"/>
        <v>18000</v>
      </c>
      <c r="Y18" s="14">
        <v>1200</v>
      </c>
      <c r="Z18" s="14">
        <v>300</v>
      </c>
      <c r="AA18" s="27">
        <f>O18+1500</f>
        <v>13020</v>
      </c>
      <c r="AB18" s="27">
        <f t="shared" ref="AB18:AJ18" si="21">P18+1500</f>
        <v>13740</v>
      </c>
      <c r="AC18" s="27">
        <f t="shared" si="21"/>
        <v>14460</v>
      </c>
      <c r="AD18" s="27">
        <f t="shared" si="21"/>
        <v>15180</v>
      </c>
      <c r="AE18" s="27">
        <f t="shared" si="21"/>
        <v>15900</v>
      </c>
      <c r="AF18" s="27">
        <f t="shared" si="21"/>
        <v>16620</v>
      </c>
      <c r="AG18" s="27">
        <f t="shared" si="21"/>
        <v>17340</v>
      </c>
      <c r="AH18" s="27">
        <f t="shared" si="21"/>
        <v>18060</v>
      </c>
      <c r="AI18" s="27">
        <f t="shared" si="21"/>
        <v>18780</v>
      </c>
      <c r="AJ18" s="27">
        <f t="shared" si="21"/>
        <v>19500</v>
      </c>
      <c r="AK18" s="33">
        <f t="shared" si="13"/>
        <v>19500</v>
      </c>
      <c r="AL18" s="33">
        <f t="shared" si="14"/>
        <v>13020</v>
      </c>
      <c r="AM18" s="33">
        <f t="shared" si="15"/>
        <v>720</v>
      </c>
    </row>
    <row r="19" customHeight="1" spans="1:39">
      <c r="A19" s="12" t="s">
        <v>279</v>
      </c>
      <c r="B19" s="15" t="s">
        <v>280</v>
      </c>
      <c r="C19" s="16"/>
      <c r="D19" s="16"/>
      <c r="E19" s="14">
        <v>420</v>
      </c>
      <c r="F19" s="14">
        <v>448</v>
      </c>
      <c r="G19" s="14">
        <v>476</v>
      </c>
      <c r="H19" s="14">
        <v>504</v>
      </c>
      <c r="I19" s="14">
        <v>532</v>
      </c>
      <c r="J19" s="14">
        <v>560</v>
      </c>
      <c r="K19" s="14">
        <v>588</v>
      </c>
      <c r="L19" s="14">
        <v>616</v>
      </c>
      <c r="M19" s="14">
        <v>644</v>
      </c>
      <c r="N19" s="14">
        <v>672</v>
      </c>
      <c r="O19" s="14">
        <f t="shared" si="10"/>
        <v>16800</v>
      </c>
      <c r="P19" s="14">
        <f t="shared" ref="P19:X19" si="22">F19*40</f>
        <v>17920</v>
      </c>
      <c r="Q19" s="14">
        <f t="shared" si="22"/>
        <v>19040</v>
      </c>
      <c r="R19" s="14">
        <f t="shared" si="22"/>
        <v>20160</v>
      </c>
      <c r="S19" s="14">
        <f t="shared" si="22"/>
        <v>21280</v>
      </c>
      <c r="T19" s="14">
        <f t="shared" si="22"/>
        <v>22400</v>
      </c>
      <c r="U19" s="14">
        <f t="shared" si="22"/>
        <v>23520</v>
      </c>
      <c r="V19" s="14">
        <f t="shared" si="22"/>
        <v>24640</v>
      </c>
      <c r="W19" s="14">
        <f t="shared" si="22"/>
        <v>25760</v>
      </c>
      <c r="X19" s="14">
        <f t="shared" si="22"/>
        <v>26880</v>
      </c>
      <c r="Y19" s="14">
        <v>1200</v>
      </c>
      <c r="Z19" s="14">
        <v>300</v>
      </c>
      <c r="AA19" s="28">
        <f>O19+1500</f>
        <v>18300</v>
      </c>
      <c r="AB19" s="28">
        <f t="shared" ref="AB19:AJ19" si="23">P19+1500</f>
        <v>19420</v>
      </c>
      <c r="AC19" s="28">
        <f t="shared" si="23"/>
        <v>20540</v>
      </c>
      <c r="AD19" s="28">
        <f t="shared" si="23"/>
        <v>21660</v>
      </c>
      <c r="AE19" s="28">
        <f t="shared" si="23"/>
        <v>22780</v>
      </c>
      <c r="AF19" s="27">
        <f t="shared" si="23"/>
        <v>23900</v>
      </c>
      <c r="AG19" s="27">
        <f t="shared" si="23"/>
        <v>25020</v>
      </c>
      <c r="AH19" s="27">
        <f t="shared" si="23"/>
        <v>26140</v>
      </c>
      <c r="AI19" s="27">
        <f t="shared" si="23"/>
        <v>27260</v>
      </c>
      <c r="AJ19" s="27">
        <f t="shared" si="23"/>
        <v>28380</v>
      </c>
      <c r="AK19" s="33">
        <f t="shared" si="13"/>
        <v>28380</v>
      </c>
      <c r="AL19" s="33">
        <f t="shared" si="14"/>
        <v>18300</v>
      </c>
      <c r="AM19" s="33">
        <f t="shared" si="15"/>
        <v>1120</v>
      </c>
    </row>
    <row r="20" customHeight="1" spans="1:39">
      <c r="A20" s="12" t="s">
        <v>281</v>
      </c>
      <c r="B20" s="15" t="s">
        <v>282</v>
      </c>
      <c r="C20" s="16"/>
      <c r="D20" s="16"/>
      <c r="E20" s="14">
        <v>375</v>
      </c>
      <c r="F20" s="14">
        <v>412.5</v>
      </c>
      <c r="G20" s="14">
        <v>450</v>
      </c>
      <c r="H20" s="14">
        <v>487.5</v>
      </c>
      <c r="I20" s="14">
        <v>525</v>
      </c>
      <c r="J20" s="14">
        <v>562.5</v>
      </c>
      <c r="K20" s="14">
        <v>600</v>
      </c>
      <c r="L20" s="14">
        <v>637.5</v>
      </c>
      <c r="M20" s="14">
        <v>675</v>
      </c>
      <c r="N20" s="14">
        <v>712.5</v>
      </c>
      <c r="O20" s="14">
        <f t="shared" si="10"/>
        <v>15000</v>
      </c>
      <c r="P20" s="14">
        <f t="shared" ref="P20:X20" si="24">F20*40</f>
        <v>16500</v>
      </c>
      <c r="Q20" s="14">
        <f t="shared" si="24"/>
        <v>18000</v>
      </c>
      <c r="R20" s="14">
        <f t="shared" si="24"/>
        <v>19500</v>
      </c>
      <c r="S20" s="14">
        <f t="shared" si="24"/>
        <v>21000</v>
      </c>
      <c r="T20" s="14">
        <f t="shared" si="24"/>
        <v>22500</v>
      </c>
      <c r="U20" s="14">
        <f t="shared" si="24"/>
        <v>24000</v>
      </c>
      <c r="V20" s="14">
        <f t="shared" si="24"/>
        <v>25500</v>
      </c>
      <c r="W20" s="14">
        <f t="shared" si="24"/>
        <v>27000</v>
      </c>
      <c r="X20" s="14">
        <f t="shared" si="24"/>
        <v>28500</v>
      </c>
      <c r="Y20" s="14">
        <v>1600</v>
      </c>
      <c r="Z20" s="14">
        <v>300</v>
      </c>
      <c r="AA20" s="28">
        <f>O20+1900</f>
        <v>16900</v>
      </c>
      <c r="AB20" s="28">
        <f t="shared" ref="AB20:AJ20" si="25">P20+1900</f>
        <v>18400</v>
      </c>
      <c r="AC20" s="28">
        <f t="shared" si="25"/>
        <v>19900</v>
      </c>
      <c r="AD20" s="28">
        <f t="shared" si="25"/>
        <v>21400</v>
      </c>
      <c r="AE20" s="28">
        <f t="shared" si="25"/>
        <v>22900</v>
      </c>
      <c r="AF20" s="27">
        <f t="shared" si="25"/>
        <v>24400</v>
      </c>
      <c r="AG20" s="27">
        <f t="shared" si="25"/>
        <v>25900</v>
      </c>
      <c r="AH20" s="27">
        <f t="shared" si="25"/>
        <v>27400</v>
      </c>
      <c r="AI20" s="27">
        <f t="shared" si="25"/>
        <v>28900</v>
      </c>
      <c r="AJ20" s="27">
        <f t="shared" si="25"/>
        <v>30400</v>
      </c>
      <c r="AK20" s="33">
        <f t="shared" si="13"/>
        <v>30400</v>
      </c>
      <c r="AL20" s="33">
        <f t="shared" si="14"/>
        <v>16900</v>
      </c>
      <c r="AM20" s="33">
        <f t="shared" si="15"/>
        <v>1500</v>
      </c>
    </row>
    <row r="21" s="1" customFormat="1" customHeight="1" spans="1:39">
      <c r="A21" s="17"/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34"/>
      <c r="AL21" s="34"/>
      <c r="AM21" s="34"/>
    </row>
    <row r="22" s="2" customFormat="1" customHeight="1" spans="37:39">
      <c r="AK22" s="25"/>
      <c r="AL22" s="25"/>
      <c r="AM22" s="25"/>
    </row>
    <row r="23" customHeight="1" spans="1:14">
      <c r="A23" s="19" t="s">
        <v>283</v>
      </c>
      <c r="B23" s="6"/>
      <c r="C23" s="6"/>
      <c r="D23" s="6"/>
      <c r="E23" s="6"/>
      <c r="F23" s="6"/>
      <c r="G23" s="6"/>
      <c r="H23" s="6"/>
      <c r="I23" s="6"/>
      <c r="J23" s="6"/>
      <c r="K23" s="24"/>
      <c r="L23" s="24"/>
      <c r="M23" s="24"/>
      <c r="N23" s="24"/>
    </row>
    <row r="24" customHeight="1" spans="1:39">
      <c r="A24" s="7" t="s">
        <v>224</v>
      </c>
      <c r="B24" s="7" t="s">
        <v>270</v>
      </c>
      <c r="C24" s="8"/>
      <c r="D24" s="8"/>
      <c r="E24" s="9" t="s">
        <v>226</v>
      </c>
      <c r="F24" s="10"/>
      <c r="G24" s="10"/>
      <c r="H24" s="10"/>
      <c r="I24" s="10"/>
      <c r="J24" s="10"/>
      <c r="K24" s="10"/>
      <c r="L24" s="10"/>
      <c r="M24" s="10"/>
      <c r="N24" s="10"/>
      <c r="O24" s="22" t="s">
        <v>227</v>
      </c>
      <c r="P24" s="23"/>
      <c r="Q24" s="23"/>
      <c r="R24" s="23"/>
      <c r="S24" s="23"/>
      <c r="T24" s="23"/>
      <c r="U24" s="23"/>
      <c r="V24" s="23"/>
      <c r="W24" s="23"/>
      <c r="X24" s="23"/>
      <c r="Y24" s="22" t="s">
        <v>228</v>
      </c>
      <c r="Z24" s="23"/>
      <c r="AA24" s="9" t="s">
        <v>229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30" t="s">
        <v>230</v>
      </c>
      <c r="AL24" s="31"/>
      <c r="AM24" s="31"/>
    </row>
    <row r="25" customHeight="1" spans="1:39">
      <c r="A25" s="8"/>
      <c r="B25" s="8"/>
      <c r="C25" s="8"/>
      <c r="D25" s="8"/>
      <c r="E25" s="11" t="s">
        <v>234</v>
      </c>
      <c r="F25" s="11" t="s">
        <v>235</v>
      </c>
      <c r="G25" s="11" t="s">
        <v>236</v>
      </c>
      <c r="H25" s="11" t="s">
        <v>237</v>
      </c>
      <c r="I25" s="11" t="s">
        <v>238</v>
      </c>
      <c r="J25" s="11" t="s">
        <v>239</v>
      </c>
      <c r="K25" s="11" t="s">
        <v>240</v>
      </c>
      <c r="L25" s="11" t="s">
        <v>241</v>
      </c>
      <c r="M25" s="11" t="s">
        <v>242</v>
      </c>
      <c r="N25" s="11" t="s">
        <v>243</v>
      </c>
      <c r="O25" s="11" t="s">
        <v>234</v>
      </c>
      <c r="P25" s="11" t="s">
        <v>235</v>
      </c>
      <c r="Q25" s="11" t="s">
        <v>236</v>
      </c>
      <c r="R25" s="11" t="s">
        <v>237</v>
      </c>
      <c r="S25" s="11" t="s">
        <v>238</v>
      </c>
      <c r="T25" s="11" t="s">
        <v>239</v>
      </c>
      <c r="U25" s="11" t="s">
        <v>240</v>
      </c>
      <c r="V25" s="11" t="s">
        <v>241</v>
      </c>
      <c r="W25" s="11" t="s">
        <v>242</v>
      </c>
      <c r="X25" s="11" t="s">
        <v>243</v>
      </c>
      <c r="Y25" s="26" t="s">
        <v>244</v>
      </c>
      <c r="Z25" s="26" t="s">
        <v>245</v>
      </c>
      <c r="AA25" s="11" t="s">
        <v>234</v>
      </c>
      <c r="AB25" s="11" t="s">
        <v>235</v>
      </c>
      <c r="AC25" s="11" t="s">
        <v>236</v>
      </c>
      <c r="AD25" s="11" t="s">
        <v>237</v>
      </c>
      <c r="AE25" s="11" t="s">
        <v>238</v>
      </c>
      <c r="AF25" s="11" t="s">
        <v>239</v>
      </c>
      <c r="AG25" s="11" t="s">
        <v>240</v>
      </c>
      <c r="AH25" s="11" t="s">
        <v>241</v>
      </c>
      <c r="AI25" s="11" t="s">
        <v>242</v>
      </c>
      <c r="AJ25" s="11" t="s">
        <v>243</v>
      </c>
      <c r="AK25" s="32" t="s">
        <v>246</v>
      </c>
      <c r="AL25" s="32" t="s">
        <v>247</v>
      </c>
      <c r="AM25" s="32" t="s">
        <v>248</v>
      </c>
    </row>
    <row r="26" customHeight="1" spans="1:39">
      <c r="A26" s="12" t="s">
        <v>284</v>
      </c>
      <c r="B26" s="15" t="s">
        <v>285</v>
      </c>
      <c r="C26" s="16"/>
      <c r="D26" s="16"/>
      <c r="E26" s="14">
        <v>90</v>
      </c>
      <c r="F26" s="14">
        <v>99</v>
      </c>
      <c r="G26" s="14">
        <v>108</v>
      </c>
      <c r="H26" s="14">
        <v>117</v>
      </c>
      <c r="I26" s="14">
        <v>126</v>
      </c>
      <c r="J26" s="14">
        <v>135</v>
      </c>
      <c r="K26" s="14">
        <v>144</v>
      </c>
      <c r="L26" s="14">
        <v>153</v>
      </c>
      <c r="M26" s="14">
        <v>162</v>
      </c>
      <c r="N26" s="14">
        <v>171</v>
      </c>
      <c r="O26" s="14">
        <f>E26*40</f>
        <v>3600</v>
      </c>
      <c r="P26" s="14">
        <f t="shared" ref="P26:X26" si="26">F26*40</f>
        <v>3960</v>
      </c>
      <c r="Q26" s="14">
        <f t="shared" si="26"/>
        <v>4320</v>
      </c>
      <c r="R26" s="14">
        <f t="shared" si="26"/>
        <v>4680</v>
      </c>
      <c r="S26" s="14">
        <f t="shared" si="26"/>
        <v>5040</v>
      </c>
      <c r="T26" s="14">
        <f t="shared" si="26"/>
        <v>5400</v>
      </c>
      <c r="U26" s="14">
        <f t="shared" si="26"/>
        <v>5760</v>
      </c>
      <c r="V26" s="14">
        <f t="shared" si="26"/>
        <v>6120</v>
      </c>
      <c r="W26" s="14">
        <f t="shared" si="26"/>
        <v>6480</v>
      </c>
      <c r="X26" s="14">
        <f t="shared" si="26"/>
        <v>6840</v>
      </c>
      <c r="Y26" s="14">
        <v>900</v>
      </c>
      <c r="Z26" s="14">
        <v>300</v>
      </c>
      <c r="AA26" s="27">
        <f>O26+1200</f>
        <v>4800</v>
      </c>
      <c r="AB26" s="27">
        <f t="shared" ref="AB26:AJ26" si="27">P26+1200</f>
        <v>5160</v>
      </c>
      <c r="AC26" s="27">
        <f t="shared" si="27"/>
        <v>5520</v>
      </c>
      <c r="AD26" s="27">
        <f t="shared" si="27"/>
        <v>5880</v>
      </c>
      <c r="AE26" s="27">
        <f t="shared" si="27"/>
        <v>6240</v>
      </c>
      <c r="AF26" s="27">
        <f t="shared" si="27"/>
        <v>6600</v>
      </c>
      <c r="AG26" s="27">
        <f t="shared" si="27"/>
        <v>6960</v>
      </c>
      <c r="AH26" s="27">
        <f t="shared" si="27"/>
        <v>7320</v>
      </c>
      <c r="AI26" s="27">
        <f t="shared" si="27"/>
        <v>7680</v>
      </c>
      <c r="AJ26" s="27">
        <f t="shared" si="27"/>
        <v>8040</v>
      </c>
      <c r="AK26" s="33">
        <f>AJ26</f>
        <v>8040</v>
      </c>
      <c r="AL26" s="33">
        <f>AA26</f>
        <v>4800</v>
      </c>
      <c r="AM26" s="33">
        <f>(F26-E26)*40</f>
        <v>360</v>
      </c>
    </row>
    <row r="27" customHeight="1" spans="1:39">
      <c r="A27" s="12" t="s">
        <v>286</v>
      </c>
      <c r="B27" s="15" t="s">
        <v>287</v>
      </c>
      <c r="C27" s="16"/>
      <c r="D27" s="16"/>
      <c r="E27" s="14">
        <v>129</v>
      </c>
      <c r="F27" s="14">
        <v>143</v>
      </c>
      <c r="G27" s="14">
        <v>157</v>
      </c>
      <c r="H27" s="14">
        <v>171</v>
      </c>
      <c r="I27" s="14">
        <v>185</v>
      </c>
      <c r="J27" s="14">
        <v>199</v>
      </c>
      <c r="K27" s="14">
        <v>213</v>
      </c>
      <c r="L27" s="14">
        <v>227</v>
      </c>
      <c r="M27" s="14">
        <v>241</v>
      </c>
      <c r="N27" s="14">
        <v>255</v>
      </c>
      <c r="O27" s="14">
        <f>E27*40</f>
        <v>5160</v>
      </c>
      <c r="P27" s="14">
        <f t="shared" ref="P27:X27" si="28">F27*40</f>
        <v>5720</v>
      </c>
      <c r="Q27" s="14">
        <f t="shared" si="28"/>
        <v>6280</v>
      </c>
      <c r="R27" s="14">
        <f t="shared" si="28"/>
        <v>6840</v>
      </c>
      <c r="S27" s="14">
        <f t="shared" si="28"/>
        <v>7400</v>
      </c>
      <c r="T27" s="14">
        <f t="shared" si="28"/>
        <v>7960</v>
      </c>
      <c r="U27" s="14">
        <f t="shared" si="28"/>
        <v>8520</v>
      </c>
      <c r="V27" s="14">
        <f t="shared" si="28"/>
        <v>9080</v>
      </c>
      <c r="W27" s="14">
        <f t="shared" si="28"/>
        <v>9640</v>
      </c>
      <c r="X27" s="14">
        <f t="shared" si="28"/>
        <v>10200</v>
      </c>
      <c r="Y27" s="14">
        <v>900</v>
      </c>
      <c r="Z27" s="14">
        <v>300</v>
      </c>
      <c r="AA27" s="27">
        <f>O27+1200</f>
        <v>6360</v>
      </c>
      <c r="AB27" s="27">
        <f t="shared" ref="AB27:AJ27" si="29">P27+1200</f>
        <v>6920</v>
      </c>
      <c r="AC27" s="27">
        <f t="shared" si="29"/>
        <v>7480</v>
      </c>
      <c r="AD27" s="27">
        <f t="shared" si="29"/>
        <v>8040</v>
      </c>
      <c r="AE27" s="27">
        <f t="shared" si="29"/>
        <v>8600</v>
      </c>
      <c r="AF27" s="27">
        <f t="shared" si="29"/>
        <v>9160</v>
      </c>
      <c r="AG27" s="27">
        <f t="shared" si="29"/>
        <v>9720</v>
      </c>
      <c r="AH27" s="27">
        <f t="shared" si="29"/>
        <v>10280</v>
      </c>
      <c r="AI27" s="27">
        <f t="shared" si="29"/>
        <v>10840</v>
      </c>
      <c r="AJ27" s="27">
        <f t="shared" si="29"/>
        <v>11400</v>
      </c>
      <c r="AK27" s="33">
        <f>AJ27</f>
        <v>11400</v>
      </c>
      <c r="AL27" s="33">
        <f>AA27</f>
        <v>6360</v>
      </c>
      <c r="AM27" s="33">
        <f>(F27-E27)*40</f>
        <v>560</v>
      </c>
    </row>
    <row r="28" customHeight="1" spans="1:39">
      <c r="A28" s="12" t="s">
        <v>288</v>
      </c>
      <c r="B28" s="15" t="s">
        <v>289</v>
      </c>
      <c r="C28" s="16"/>
      <c r="D28" s="16"/>
      <c r="E28" s="14">
        <v>150</v>
      </c>
      <c r="F28" s="14">
        <v>166</v>
      </c>
      <c r="G28" s="14">
        <v>182</v>
      </c>
      <c r="H28" s="14">
        <v>198</v>
      </c>
      <c r="I28" s="14">
        <v>214</v>
      </c>
      <c r="J28" s="14">
        <v>230</v>
      </c>
      <c r="K28" s="14">
        <v>246</v>
      </c>
      <c r="L28" s="14">
        <v>262</v>
      </c>
      <c r="M28" s="14">
        <v>278</v>
      </c>
      <c r="N28" s="14">
        <v>294</v>
      </c>
      <c r="O28" s="14">
        <f>E28*40</f>
        <v>6000</v>
      </c>
      <c r="P28" s="14">
        <f t="shared" ref="P28:X28" si="30">F28*40</f>
        <v>6640</v>
      </c>
      <c r="Q28" s="14">
        <f t="shared" si="30"/>
        <v>7280</v>
      </c>
      <c r="R28" s="14">
        <f t="shared" si="30"/>
        <v>7920</v>
      </c>
      <c r="S28" s="14">
        <f t="shared" si="30"/>
        <v>8560</v>
      </c>
      <c r="T28" s="14">
        <f t="shared" si="30"/>
        <v>9200</v>
      </c>
      <c r="U28" s="14">
        <f t="shared" si="30"/>
        <v>9840</v>
      </c>
      <c r="V28" s="14">
        <f t="shared" si="30"/>
        <v>10480</v>
      </c>
      <c r="W28" s="14">
        <f t="shared" si="30"/>
        <v>11120</v>
      </c>
      <c r="X28" s="14">
        <f t="shared" si="30"/>
        <v>11760</v>
      </c>
      <c r="Y28" s="14">
        <v>1200</v>
      </c>
      <c r="Z28" s="14">
        <v>300</v>
      </c>
      <c r="AA28" s="27">
        <f>O28+1500</f>
        <v>7500</v>
      </c>
      <c r="AB28" s="27">
        <f t="shared" ref="AB28:AJ28" si="31">P28+1500</f>
        <v>8140</v>
      </c>
      <c r="AC28" s="27">
        <f t="shared" si="31"/>
        <v>8780</v>
      </c>
      <c r="AD28" s="27">
        <f t="shared" si="31"/>
        <v>9420</v>
      </c>
      <c r="AE28" s="27">
        <f t="shared" si="31"/>
        <v>10060</v>
      </c>
      <c r="AF28" s="27">
        <f t="shared" si="31"/>
        <v>10700</v>
      </c>
      <c r="AG28" s="27">
        <f t="shared" si="31"/>
        <v>11340</v>
      </c>
      <c r="AH28" s="27">
        <f t="shared" si="31"/>
        <v>11980</v>
      </c>
      <c r="AI28" s="27">
        <f t="shared" si="31"/>
        <v>12620</v>
      </c>
      <c r="AJ28" s="27">
        <f t="shared" si="31"/>
        <v>13260</v>
      </c>
      <c r="AK28" s="33">
        <f>AJ28</f>
        <v>13260</v>
      </c>
      <c r="AL28" s="33">
        <f>AA28</f>
        <v>7500</v>
      </c>
      <c r="AM28" s="33">
        <f>(F28-E28)*40</f>
        <v>640</v>
      </c>
    </row>
    <row r="29" customHeight="1" spans="1:39">
      <c r="A29" s="12" t="s">
        <v>290</v>
      </c>
      <c r="B29" s="15" t="s">
        <v>280</v>
      </c>
      <c r="C29" s="16"/>
      <c r="D29" s="16"/>
      <c r="E29" s="14">
        <v>270</v>
      </c>
      <c r="F29" s="14">
        <v>288</v>
      </c>
      <c r="G29" s="14">
        <v>306</v>
      </c>
      <c r="H29" s="14">
        <v>324</v>
      </c>
      <c r="I29" s="14">
        <v>342</v>
      </c>
      <c r="J29" s="14">
        <v>360</v>
      </c>
      <c r="K29" s="14">
        <v>378</v>
      </c>
      <c r="L29" s="14">
        <v>396</v>
      </c>
      <c r="M29" s="14">
        <v>414</v>
      </c>
      <c r="N29" s="14">
        <v>432</v>
      </c>
      <c r="O29" s="14">
        <f>E29*40</f>
        <v>10800</v>
      </c>
      <c r="P29" s="14">
        <f t="shared" ref="P29:X29" si="32">F29*40</f>
        <v>11520</v>
      </c>
      <c r="Q29" s="14">
        <f t="shared" si="32"/>
        <v>12240</v>
      </c>
      <c r="R29" s="14">
        <f t="shared" si="32"/>
        <v>12960</v>
      </c>
      <c r="S29" s="14">
        <f t="shared" si="32"/>
        <v>13680</v>
      </c>
      <c r="T29" s="14">
        <f t="shared" si="32"/>
        <v>14400</v>
      </c>
      <c r="U29" s="14">
        <f t="shared" si="32"/>
        <v>15120</v>
      </c>
      <c r="V29" s="14">
        <f t="shared" si="32"/>
        <v>15840</v>
      </c>
      <c r="W29" s="14">
        <f t="shared" si="32"/>
        <v>16560</v>
      </c>
      <c r="X29" s="14">
        <f t="shared" si="32"/>
        <v>17280</v>
      </c>
      <c r="Y29" s="14">
        <v>1200</v>
      </c>
      <c r="Z29" s="14">
        <v>300</v>
      </c>
      <c r="AA29" s="27">
        <f>O29+1500</f>
        <v>12300</v>
      </c>
      <c r="AB29" s="27">
        <f t="shared" ref="AB29:AJ29" si="33">P29+1500</f>
        <v>13020</v>
      </c>
      <c r="AC29" s="27">
        <f t="shared" si="33"/>
        <v>13740</v>
      </c>
      <c r="AD29" s="27">
        <f t="shared" si="33"/>
        <v>14460</v>
      </c>
      <c r="AE29" s="27">
        <f t="shared" si="33"/>
        <v>15180</v>
      </c>
      <c r="AF29" s="27">
        <f t="shared" si="33"/>
        <v>15900</v>
      </c>
      <c r="AG29" s="27">
        <f t="shared" si="33"/>
        <v>16620</v>
      </c>
      <c r="AH29" s="27">
        <f t="shared" si="33"/>
        <v>17340</v>
      </c>
      <c r="AI29" s="27">
        <f t="shared" si="33"/>
        <v>18060</v>
      </c>
      <c r="AJ29" s="27">
        <f t="shared" si="33"/>
        <v>18780</v>
      </c>
      <c r="AK29" s="33">
        <f>AJ29</f>
        <v>18780</v>
      </c>
      <c r="AL29" s="33">
        <f>AA29</f>
        <v>12300</v>
      </c>
      <c r="AM29" s="33">
        <f>(F29-E29)*40</f>
        <v>720</v>
      </c>
    </row>
    <row r="30" customHeight="1" spans="1:39">
      <c r="A30" s="12" t="s">
        <v>291</v>
      </c>
      <c r="B30" s="15" t="s">
        <v>267</v>
      </c>
      <c r="C30" s="16"/>
      <c r="D30" s="16"/>
      <c r="E30" s="14">
        <v>402</v>
      </c>
      <c r="F30" s="14">
        <v>430</v>
      </c>
      <c r="G30" s="14">
        <v>458</v>
      </c>
      <c r="H30" s="14">
        <v>486</v>
      </c>
      <c r="I30" s="14">
        <v>514</v>
      </c>
      <c r="J30" s="14">
        <v>542</v>
      </c>
      <c r="K30" s="14">
        <v>570</v>
      </c>
      <c r="L30" s="14">
        <v>598</v>
      </c>
      <c r="M30" s="14">
        <v>626</v>
      </c>
      <c r="N30" s="14">
        <v>654</v>
      </c>
      <c r="O30" s="14">
        <f>E30*40</f>
        <v>16080</v>
      </c>
      <c r="P30" s="14">
        <f t="shared" ref="P30:X30" si="34">F30*40</f>
        <v>17200</v>
      </c>
      <c r="Q30" s="14">
        <f t="shared" si="34"/>
        <v>18320</v>
      </c>
      <c r="R30" s="14">
        <f t="shared" si="34"/>
        <v>19440</v>
      </c>
      <c r="S30" s="14">
        <f t="shared" si="34"/>
        <v>20560</v>
      </c>
      <c r="T30" s="14">
        <f t="shared" si="34"/>
        <v>21680</v>
      </c>
      <c r="U30" s="14">
        <f t="shared" si="34"/>
        <v>22800</v>
      </c>
      <c r="V30" s="14">
        <f t="shared" si="34"/>
        <v>23920</v>
      </c>
      <c r="W30" s="14">
        <f t="shared" si="34"/>
        <v>25040</v>
      </c>
      <c r="X30" s="14">
        <f t="shared" si="34"/>
        <v>26160</v>
      </c>
      <c r="Y30" s="14">
        <v>1600</v>
      </c>
      <c r="Z30" s="14">
        <v>300</v>
      </c>
      <c r="AA30" s="27">
        <f>O30+1900</f>
        <v>17980</v>
      </c>
      <c r="AB30" s="27">
        <f t="shared" ref="AB30:AJ30" si="35">P30+1900</f>
        <v>19100</v>
      </c>
      <c r="AC30" s="27">
        <f t="shared" si="35"/>
        <v>20220</v>
      </c>
      <c r="AD30" s="27">
        <f t="shared" si="35"/>
        <v>21340</v>
      </c>
      <c r="AE30" s="27">
        <f t="shared" si="35"/>
        <v>22460</v>
      </c>
      <c r="AF30" s="27">
        <f t="shared" si="35"/>
        <v>23580</v>
      </c>
      <c r="AG30" s="27">
        <f t="shared" si="35"/>
        <v>24700</v>
      </c>
      <c r="AH30" s="27">
        <f t="shared" si="35"/>
        <v>25820</v>
      </c>
      <c r="AI30" s="27">
        <f t="shared" si="35"/>
        <v>26940</v>
      </c>
      <c r="AJ30" s="27">
        <f t="shared" si="35"/>
        <v>28060</v>
      </c>
      <c r="AK30" s="33">
        <f>AJ30</f>
        <v>28060</v>
      </c>
      <c r="AL30" s="33">
        <f>AA30</f>
        <v>17980</v>
      </c>
      <c r="AM30" s="33">
        <f>(F30-E30)*40</f>
        <v>1120</v>
      </c>
    </row>
    <row r="31" s="2" customFormat="1" customHeight="1" spans="37:39">
      <c r="AK31" s="25"/>
      <c r="AL31" s="25"/>
      <c r="AM31" s="25"/>
    </row>
    <row r="32" s="2" customFormat="1" customHeight="1" spans="37:39">
      <c r="AK32" s="25"/>
      <c r="AL32" s="25"/>
      <c r="AM32" s="25"/>
    </row>
    <row r="33" customHeight="1" spans="1:15">
      <c r="A33" s="20" t="s">
        <v>292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5"/>
      <c r="N33" s="25"/>
      <c r="O33" s="2"/>
    </row>
    <row r="34" customHeight="1" spans="1:39">
      <c r="A34" s="7" t="s">
        <v>224</v>
      </c>
      <c r="B34" s="7" t="s">
        <v>225</v>
      </c>
      <c r="C34" s="8"/>
      <c r="D34" s="8"/>
      <c r="E34" s="9" t="s">
        <v>226</v>
      </c>
      <c r="F34" s="10"/>
      <c r="G34" s="10"/>
      <c r="H34" s="10"/>
      <c r="I34" s="10"/>
      <c r="J34" s="10"/>
      <c r="K34" s="10"/>
      <c r="L34" s="10"/>
      <c r="M34" s="10"/>
      <c r="N34" s="10"/>
      <c r="O34" s="22" t="s">
        <v>227</v>
      </c>
      <c r="P34" s="23"/>
      <c r="Q34" s="23"/>
      <c r="R34" s="23"/>
      <c r="S34" s="23"/>
      <c r="T34" s="23"/>
      <c r="U34" s="23"/>
      <c r="V34" s="23"/>
      <c r="W34" s="23"/>
      <c r="X34" s="23"/>
      <c r="Y34" s="22" t="s">
        <v>228</v>
      </c>
      <c r="Z34" s="23"/>
      <c r="AA34" s="9" t="s">
        <v>229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30" t="s">
        <v>230</v>
      </c>
      <c r="AL34" s="31"/>
      <c r="AM34" s="31"/>
    </row>
    <row r="35" customHeight="1" spans="1:39">
      <c r="A35" s="8"/>
      <c r="B35" s="7" t="s">
        <v>293</v>
      </c>
      <c r="C35" s="7" t="s">
        <v>294</v>
      </c>
      <c r="D35" s="7" t="s">
        <v>295</v>
      </c>
      <c r="E35" s="11" t="s">
        <v>234</v>
      </c>
      <c r="F35" s="11" t="s">
        <v>235</v>
      </c>
      <c r="G35" s="11" t="s">
        <v>236</v>
      </c>
      <c r="H35" s="11" t="s">
        <v>237</v>
      </c>
      <c r="I35" s="11" t="s">
        <v>238</v>
      </c>
      <c r="J35" s="11" t="s">
        <v>239</v>
      </c>
      <c r="K35" s="11" t="s">
        <v>240</v>
      </c>
      <c r="L35" s="11" t="s">
        <v>241</v>
      </c>
      <c r="M35" s="11" t="s">
        <v>242</v>
      </c>
      <c r="N35" s="11" t="s">
        <v>243</v>
      </c>
      <c r="O35" s="11" t="s">
        <v>234</v>
      </c>
      <c r="P35" s="11" t="s">
        <v>235</v>
      </c>
      <c r="Q35" s="11" t="s">
        <v>236</v>
      </c>
      <c r="R35" s="11" t="s">
        <v>237</v>
      </c>
      <c r="S35" s="11" t="s">
        <v>238</v>
      </c>
      <c r="T35" s="11" t="s">
        <v>239</v>
      </c>
      <c r="U35" s="11" t="s">
        <v>240</v>
      </c>
      <c r="V35" s="11" t="s">
        <v>241</v>
      </c>
      <c r="W35" s="11" t="s">
        <v>242</v>
      </c>
      <c r="X35" s="11" t="s">
        <v>243</v>
      </c>
      <c r="Y35" s="26" t="s">
        <v>244</v>
      </c>
      <c r="Z35" s="26" t="s">
        <v>245</v>
      </c>
      <c r="AA35" s="11" t="s">
        <v>234</v>
      </c>
      <c r="AB35" s="11" t="s">
        <v>235</v>
      </c>
      <c r="AC35" s="11" t="s">
        <v>236</v>
      </c>
      <c r="AD35" s="11" t="s">
        <v>237</v>
      </c>
      <c r="AE35" s="11" t="s">
        <v>238</v>
      </c>
      <c r="AF35" s="11" t="s">
        <v>239</v>
      </c>
      <c r="AG35" s="11" t="s">
        <v>240</v>
      </c>
      <c r="AH35" s="11" t="s">
        <v>241</v>
      </c>
      <c r="AI35" s="11" t="s">
        <v>242</v>
      </c>
      <c r="AJ35" s="11" t="s">
        <v>243</v>
      </c>
      <c r="AK35" s="32" t="s">
        <v>246</v>
      </c>
      <c r="AL35" s="32" t="s">
        <v>247</v>
      </c>
      <c r="AM35" s="32" t="s">
        <v>248</v>
      </c>
    </row>
    <row r="36" customHeight="1" spans="1:39">
      <c r="A36" s="12" t="s">
        <v>296</v>
      </c>
      <c r="B36" s="13" t="s">
        <v>297</v>
      </c>
      <c r="C36" s="13" t="s">
        <v>298</v>
      </c>
      <c r="D36" s="13" t="s">
        <v>299</v>
      </c>
      <c r="E36" s="14">
        <v>90</v>
      </c>
      <c r="F36" s="14">
        <v>97.5</v>
      </c>
      <c r="G36" s="14">
        <v>105</v>
      </c>
      <c r="H36" s="14">
        <v>112.5</v>
      </c>
      <c r="I36" s="14">
        <v>120</v>
      </c>
      <c r="J36" s="14">
        <v>127.5</v>
      </c>
      <c r="K36" s="14">
        <v>135</v>
      </c>
      <c r="L36" s="14">
        <v>142.5</v>
      </c>
      <c r="M36" s="14">
        <v>150</v>
      </c>
      <c r="N36" s="14">
        <v>157.5</v>
      </c>
      <c r="O36" s="14">
        <f>E36*40</f>
        <v>3600</v>
      </c>
      <c r="P36" s="14">
        <f t="shared" ref="P36:X36" si="36">F36*40</f>
        <v>3900</v>
      </c>
      <c r="Q36" s="14">
        <f t="shared" si="36"/>
        <v>4200</v>
      </c>
      <c r="R36" s="14">
        <f t="shared" si="36"/>
        <v>4500</v>
      </c>
      <c r="S36" s="14">
        <f t="shared" si="36"/>
        <v>4800</v>
      </c>
      <c r="T36" s="14">
        <f t="shared" si="36"/>
        <v>5100</v>
      </c>
      <c r="U36" s="14">
        <f t="shared" si="36"/>
        <v>5400</v>
      </c>
      <c r="V36" s="14">
        <f t="shared" si="36"/>
        <v>5700</v>
      </c>
      <c r="W36" s="14">
        <f t="shared" si="36"/>
        <v>6000</v>
      </c>
      <c r="X36" s="14">
        <f t="shared" si="36"/>
        <v>6300</v>
      </c>
      <c r="Y36" s="14">
        <v>900</v>
      </c>
      <c r="Z36" s="14">
        <v>300</v>
      </c>
      <c r="AA36" s="27">
        <f>O36+1200</f>
        <v>4800</v>
      </c>
      <c r="AB36" s="27">
        <f t="shared" ref="AB36:AJ36" si="37">P36+1200</f>
        <v>5100</v>
      </c>
      <c r="AC36" s="27">
        <f t="shared" si="37"/>
        <v>5400</v>
      </c>
      <c r="AD36" s="27">
        <f t="shared" si="37"/>
        <v>5700</v>
      </c>
      <c r="AE36" s="27">
        <f t="shared" si="37"/>
        <v>6000</v>
      </c>
      <c r="AF36" s="27">
        <f t="shared" si="37"/>
        <v>6300</v>
      </c>
      <c r="AG36" s="27">
        <f t="shared" si="37"/>
        <v>6600</v>
      </c>
      <c r="AH36" s="27">
        <f t="shared" si="37"/>
        <v>6900</v>
      </c>
      <c r="AI36" s="27">
        <f t="shared" si="37"/>
        <v>7200</v>
      </c>
      <c r="AJ36" s="27">
        <f t="shared" si="37"/>
        <v>7500</v>
      </c>
      <c r="AK36" s="33">
        <f>AJ36</f>
        <v>7500</v>
      </c>
      <c r="AL36" s="33">
        <f>AA36</f>
        <v>4800</v>
      </c>
      <c r="AM36" s="33">
        <f>(F36-E36)*40</f>
        <v>300</v>
      </c>
    </row>
    <row r="37" ht="22" customHeight="1" spans="1:39">
      <c r="A37" s="12" t="s">
        <v>300</v>
      </c>
      <c r="B37" s="13" t="s">
        <v>301</v>
      </c>
      <c r="C37" s="13" t="s">
        <v>302</v>
      </c>
      <c r="D37" s="13" t="s">
        <v>303</v>
      </c>
      <c r="E37" s="14">
        <v>140</v>
      </c>
      <c r="F37" s="14">
        <v>150.5</v>
      </c>
      <c r="G37" s="14">
        <v>161</v>
      </c>
      <c r="H37" s="14">
        <v>171.5</v>
      </c>
      <c r="I37" s="14">
        <v>182</v>
      </c>
      <c r="J37" s="14">
        <v>192.5</v>
      </c>
      <c r="K37" s="14">
        <v>203</v>
      </c>
      <c r="L37" s="14">
        <v>213.5</v>
      </c>
      <c r="M37" s="14">
        <v>224</v>
      </c>
      <c r="N37" s="14">
        <v>234.5</v>
      </c>
      <c r="O37" s="14">
        <f>E37*40</f>
        <v>5600</v>
      </c>
      <c r="P37" s="14">
        <f t="shared" ref="P37:X37" si="38">F37*40</f>
        <v>6020</v>
      </c>
      <c r="Q37" s="14">
        <f t="shared" si="38"/>
        <v>6440</v>
      </c>
      <c r="R37" s="14">
        <f t="shared" si="38"/>
        <v>6860</v>
      </c>
      <c r="S37" s="14">
        <f t="shared" si="38"/>
        <v>7280</v>
      </c>
      <c r="T37" s="14">
        <f t="shared" si="38"/>
        <v>7700</v>
      </c>
      <c r="U37" s="14">
        <f t="shared" si="38"/>
        <v>8120</v>
      </c>
      <c r="V37" s="14">
        <f t="shared" si="38"/>
        <v>8540</v>
      </c>
      <c r="W37" s="14">
        <f t="shared" si="38"/>
        <v>8960</v>
      </c>
      <c r="X37" s="14">
        <f t="shared" si="38"/>
        <v>9380</v>
      </c>
      <c r="Y37" s="14">
        <v>900</v>
      </c>
      <c r="Z37" s="14">
        <v>300</v>
      </c>
      <c r="AA37" s="27">
        <f>O37+1200</f>
        <v>6800</v>
      </c>
      <c r="AB37" s="27">
        <f t="shared" ref="AB37:AJ37" si="39">P37+1200</f>
        <v>7220</v>
      </c>
      <c r="AC37" s="27">
        <f t="shared" si="39"/>
        <v>7640</v>
      </c>
      <c r="AD37" s="27">
        <f t="shared" si="39"/>
        <v>8060</v>
      </c>
      <c r="AE37" s="27">
        <f t="shared" si="39"/>
        <v>8480</v>
      </c>
      <c r="AF37" s="27">
        <f t="shared" si="39"/>
        <v>8900</v>
      </c>
      <c r="AG37" s="27">
        <f t="shared" si="39"/>
        <v>9320</v>
      </c>
      <c r="AH37" s="27">
        <f t="shared" si="39"/>
        <v>9740</v>
      </c>
      <c r="AI37" s="27">
        <f t="shared" si="39"/>
        <v>10160</v>
      </c>
      <c r="AJ37" s="27">
        <f t="shared" si="39"/>
        <v>10580</v>
      </c>
      <c r="AK37" s="33">
        <f>AJ37</f>
        <v>10580</v>
      </c>
      <c r="AL37" s="33">
        <f>AA37</f>
        <v>6800</v>
      </c>
      <c r="AM37" s="33">
        <f>(F37-E37)*40</f>
        <v>420</v>
      </c>
    </row>
    <row r="38" ht="24" customHeight="1" spans="1:39">
      <c r="A38" s="12" t="s">
        <v>304</v>
      </c>
      <c r="B38" s="13" t="s">
        <v>305</v>
      </c>
      <c r="C38" s="13" t="s">
        <v>306</v>
      </c>
      <c r="D38" s="13" t="s">
        <v>307</v>
      </c>
      <c r="E38" s="14">
        <v>180</v>
      </c>
      <c r="F38" s="14">
        <v>193.5</v>
      </c>
      <c r="G38" s="14">
        <v>207</v>
      </c>
      <c r="H38" s="14">
        <v>220.5</v>
      </c>
      <c r="I38" s="14">
        <v>234</v>
      </c>
      <c r="J38" s="14">
        <v>247.5</v>
      </c>
      <c r="K38" s="14">
        <v>261</v>
      </c>
      <c r="L38" s="14">
        <v>274.5</v>
      </c>
      <c r="M38" s="14">
        <v>288</v>
      </c>
      <c r="N38" s="14">
        <v>301.5</v>
      </c>
      <c r="O38" s="14">
        <f>E38*40</f>
        <v>7200</v>
      </c>
      <c r="P38" s="14">
        <f t="shared" ref="P38:X38" si="40">F38*40</f>
        <v>7740</v>
      </c>
      <c r="Q38" s="14">
        <f t="shared" si="40"/>
        <v>8280</v>
      </c>
      <c r="R38" s="14">
        <f t="shared" si="40"/>
        <v>8820</v>
      </c>
      <c r="S38" s="14">
        <f t="shared" si="40"/>
        <v>9360</v>
      </c>
      <c r="T38" s="14">
        <f t="shared" si="40"/>
        <v>9900</v>
      </c>
      <c r="U38" s="14">
        <f t="shared" si="40"/>
        <v>10440</v>
      </c>
      <c r="V38" s="14">
        <f t="shared" si="40"/>
        <v>10980</v>
      </c>
      <c r="W38" s="14">
        <f t="shared" si="40"/>
        <v>11520</v>
      </c>
      <c r="X38" s="14">
        <f t="shared" si="40"/>
        <v>12060</v>
      </c>
      <c r="Y38" s="14">
        <v>1200</v>
      </c>
      <c r="Z38" s="14">
        <v>300</v>
      </c>
      <c r="AA38" s="27">
        <f>O38+1500</f>
        <v>8700</v>
      </c>
      <c r="AB38" s="27">
        <f t="shared" ref="AB38:AJ38" si="41">P38+1500</f>
        <v>9240</v>
      </c>
      <c r="AC38" s="27">
        <f t="shared" si="41"/>
        <v>9780</v>
      </c>
      <c r="AD38" s="27">
        <f t="shared" si="41"/>
        <v>10320</v>
      </c>
      <c r="AE38" s="27">
        <f t="shared" si="41"/>
        <v>10860</v>
      </c>
      <c r="AF38" s="27">
        <f t="shared" si="41"/>
        <v>11400</v>
      </c>
      <c r="AG38" s="27">
        <f t="shared" si="41"/>
        <v>11940</v>
      </c>
      <c r="AH38" s="27">
        <f t="shared" si="41"/>
        <v>12480</v>
      </c>
      <c r="AI38" s="27">
        <f t="shared" si="41"/>
        <v>13020</v>
      </c>
      <c r="AJ38" s="27">
        <f t="shared" si="41"/>
        <v>13560</v>
      </c>
      <c r="AK38" s="33">
        <f>AJ38</f>
        <v>13560</v>
      </c>
      <c r="AL38" s="33">
        <f>AA38</f>
        <v>8700</v>
      </c>
      <c r="AM38" s="33">
        <f>(F38-E38)*40</f>
        <v>540</v>
      </c>
    </row>
    <row r="39" ht="24" customHeight="1" spans="1:39">
      <c r="A39" s="12" t="s">
        <v>308</v>
      </c>
      <c r="B39" s="13" t="s">
        <v>309</v>
      </c>
      <c r="C39" s="13" t="s">
        <v>310</v>
      </c>
      <c r="D39" s="13" t="s">
        <v>311</v>
      </c>
      <c r="E39" s="14">
        <v>253</v>
      </c>
      <c r="F39" s="14">
        <v>275</v>
      </c>
      <c r="G39" s="14">
        <v>297</v>
      </c>
      <c r="H39" s="14">
        <v>319</v>
      </c>
      <c r="I39" s="14">
        <v>341</v>
      </c>
      <c r="J39" s="14">
        <v>363</v>
      </c>
      <c r="K39" s="14">
        <v>385</v>
      </c>
      <c r="L39" s="14">
        <v>407</v>
      </c>
      <c r="M39" s="14">
        <v>429</v>
      </c>
      <c r="N39" s="14">
        <v>451</v>
      </c>
      <c r="O39" s="14">
        <f>E39*40</f>
        <v>10120</v>
      </c>
      <c r="P39" s="14">
        <f t="shared" ref="P39:X39" si="42">F39*40</f>
        <v>11000</v>
      </c>
      <c r="Q39" s="14">
        <f t="shared" si="42"/>
        <v>11880</v>
      </c>
      <c r="R39" s="14">
        <f t="shared" si="42"/>
        <v>12760</v>
      </c>
      <c r="S39" s="14">
        <f t="shared" si="42"/>
        <v>13640</v>
      </c>
      <c r="T39" s="14">
        <f t="shared" si="42"/>
        <v>14520</v>
      </c>
      <c r="U39" s="14">
        <f t="shared" si="42"/>
        <v>15400</v>
      </c>
      <c r="V39" s="14">
        <f t="shared" si="42"/>
        <v>16280</v>
      </c>
      <c r="W39" s="14">
        <f t="shared" si="42"/>
        <v>17160</v>
      </c>
      <c r="X39" s="14">
        <f t="shared" si="42"/>
        <v>18040</v>
      </c>
      <c r="Y39" s="14">
        <v>1200</v>
      </c>
      <c r="Z39" s="14">
        <v>300</v>
      </c>
      <c r="AA39" s="27">
        <f>O39+1500</f>
        <v>11620</v>
      </c>
      <c r="AB39" s="27">
        <f t="shared" ref="AB39:AJ39" si="43">P39+1500</f>
        <v>12500</v>
      </c>
      <c r="AC39" s="27">
        <f t="shared" si="43"/>
        <v>13380</v>
      </c>
      <c r="AD39" s="27">
        <f t="shared" si="43"/>
        <v>14260</v>
      </c>
      <c r="AE39" s="27">
        <f t="shared" si="43"/>
        <v>15140</v>
      </c>
      <c r="AF39" s="27">
        <f t="shared" si="43"/>
        <v>16020</v>
      </c>
      <c r="AG39" s="27">
        <f t="shared" si="43"/>
        <v>16900</v>
      </c>
      <c r="AH39" s="27">
        <f t="shared" si="43"/>
        <v>17780</v>
      </c>
      <c r="AI39" s="27">
        <f t="shared" si="43"/>
        <v>18660</v>
      </c>
      <c r="AJ39" s="27">
        <f t="shared" si="43"/>
        <v>19540</v>
      </c>
      <c r="AK39" s="33">
        <f>AJ39</f>
        <v>19540</v>
      </c>
      <c r="AL39" s="33">
        <f>AA39</f>
        <v>11620</v>
      </c>
      <c r="AM39" s="33">
        <f>(F39-E39)*40</f>
        <v>880</v>
      </c>
    </row>
    <row r="40" customHeight="1" spans="1:39">
      <c r="A40" s="12" t="s">
        <v>312</v>
      </c>
      <c r="B40" s="13" t="s">
        <v>267</v>
      </c>
      <c r="C40" s="13" t="s">
        <v>267</v>
      </c>
      <c r="D40" s="13" t="s">
        <v>267</v>
      </c>
      <c r="E40" s="14">
        <v>377</v>
      </c>
      <c r="F40" s="14">
        <v>403</v>
      </c>
      <c r="G40" s="14">
        <v>429</v>
      </c>
      <c r="H40" s="14">
        <v>455</v>
      </c>
      <c r="I40" s="14">
        <v>481</v>
      </c>
      <c r="J40" s="14">
        <v>507</v>
      </c>
      <c r="K40" s="14">
        <v>533</v>
      </c>
      <c r="L40" s="14">
        <v>559</v>
      </c>
      <c r="M40" s="14">
        <v>585</v>
      </c>
      <c r="N40" s="14">
        <v>617.5</v>
      </c>
      <c r="O40" s="14">
        <f>E40*40</f>
        <v>15080</v>
      </c>
      <c r="P40" s="14">
        <f t="shared" ref="P40:X40" si="44">F40*40</f>
        <v>16120</v>
      </c>
      <c r="Q40" s="14">
        <f t="shared" si="44"/>
        <v>17160</v>
      </c>
      <c r="R40" s="14">
        <f t="shared" si="44"/>
        <v>18200</v>
      </c>
      <c r="S40" s="14">
        <f t="shared" si="44"/>
        <v>19240</v>
      </c>
      <c r="T40" s="14">
        <f t="shared" si="44"/>
        <v>20280</v>
      </c>
      <c r="U40" s="14">
        <f t="shared" si="44"/>
        <v>21320</v>
      </c>
      <c r="V40" s="14">
        <f t="shared" si="44"/>
        <v>22360</v>
      </c>
      <c r="W40" s="14">
        <f t="shared" si="44"/>
        <v>23400</v>
      </c>
      <c r="X40" s="14">
        <f t="shared" si="44"/>
        <v>24700</v>
      </c>
      <c r="Y40" s="14">
        <v>1600</v>
      </c>
      <c r="Z40" s="14">
        <v>300</v>
      </c>
      <c r="AA40" s="27">
        <f>O40+1900</f>
        <v>16980</v>
      </c>
      <c r="AB40" s="27">
        <f t="shared" ref="AB40:AJ40" si="45">P40+1900</f>
        <v>18020</v>
      </c>
      <c r="AC40" s="27">
        <f t="shared" si="45"/>
        <v>19060</v>
      </c>
      <c r="AD40" s="27">
        <f t="shared" si="45"/>
        <v>20100</v>
      </c>
      <c r="AE40" s="27">
        <f t="shared" si="45"/>
        <v>21140</v>
      </c>
      <c r="AF40" s="27">
        <f t="shared" si="45"/>
        <v>22180</v>
      </c>
      <c r="AG40" s="27">
        <f t="shared" si="45"/>
        <v>23220</v>
      </c>
      <c r="AH40" s="27">
        <f t="shared" si="45"/>
        <v>24260</v>
      </c>
      <c r="AI40" s="27">
        <f t="shared" si="45"/>
        <v>25300</v>
      </c>
      <c r="AJ40" s="27">
        <f t="shared" si="45"/>
        <v>26600</v>
      </c>
      <c r="AK40" s="33">
        <f>AJ40</f>
        <v>26600</v>
      </c>
      <c r="AL40" s="33">
        <f>AA40</f>
        <v>16980</v>
      </c>
      <c r="AM40" s="33">
        <f>(F40-E40)*40</f>
        <v>1040</v>
      </c>
    </row>
  </sheetData>
  <mergeCells count="40">
    <mergeCell ref="B3:D3"/>
    <mergeCell ref="E3:N3"/>
    <mergeCell ref="O3:X3"/>
    <mergeCell ref="Y3:Z3"/>
    <mergeCell ref="AA3:AJ3"/>
    <mergeCell ref="AK3:AM3"/>
    <mergeCell ref="E13:N13"/>
    <mergeCell ref="O13:X13"/>
    <mergeCell ref="Y13:Z13"/>
    <mergeCell ref="AA13:AJ13"/>
    <mergeCell ref="AK13:AM13"/>
    <mergeCell ref="B15:D15"/>
    <mergeCell ref="B16:D16"/>
    <mergeCell ref="B17:D17"/>
    <mergeCell ref="B18:D18"/>
    <mergeCell ref="B19:D19"/>
    <mergeCell ref="B20:D20"/>
    <mergeCell ref="E24:N24"/>
    <mergeCell ref="O24:X24"/>
    <mergeCell ref="Y24:Z24"/>
    <mergeCell ref="AA24:AJ24"/>
    <mergeCell ref="AK24:AM24"/>
    <mergeCell ref="B26:D26"/>
    <mergeCell ref="B27:D27"/>
    <mergeCell ref="B28:D28"/>
    <mergeCell ref="B29:D29"/>
    <mergeCell ref="B30:D30"/>
    <mergeCell ref="A33:L33"/>
    <mergeCell ref="B34:D34"/>
    <mergeCell ref="E34:N34"/>
    <mergeCell ref="O34:X34"/>
    <mergeCell ref="Y34:Z34"/>
    <mergeCell ref="AA34:AJ34"/>
    <mergeCell ref="AK34:AM34"/>
    <mergeCell ref="A3:A4"/>
    <mergeCell ref="A13:A14"/>
    <mergeCell ref="A24:A25"/>
    <mergeCell ref="A34:A35"/>
    <mergeCell ref="B13:D14"/>
    <mergeCell ref="B24:D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定薪定档表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范顺心</dc:creator>
  <cp:lastModifiedBy>陈宗蕴</cp:lastModifiedBy>
  <dcterms:created xsi:type="dcterms:W3CDTF">2020-01-06T07:26:00Z</dcterms:created>
  <dcterms:modified xsi:type="dcterms:W3CDTF">2022-07-20T02:37:15Z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  <property fmtid="{D5CDD505-2E9C-101B-9397-08002B2CF9AE}" pid="3" name="ICV">
    <vt:lpwstr>2482E8904E844576BEA5B97A021C789D</vt:lpwstr>
  </property>
</Properties>
</file>