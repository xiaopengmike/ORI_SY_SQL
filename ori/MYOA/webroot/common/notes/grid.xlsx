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 activeTab="9"/>
  </bookViews>
  <sheets>
    <sheet name="Sheet1" sheetId="1" r:id="rId1"/>
    <sheet name="Sheet2" sheetId="2" r:id="rId2"/>
    <sheet name="Sheet4" sheetId="4" r:id="rId3"/>
    <sheet name="Sheet3" sheetId="3" r:id="rId4"/>
    <sheet name="Sheet5" sheetId="5" r:id="rId5"/>
    <sheet name="Sheet6" sheetId="7" r:id="rId6"/>
    <sheet name="Sheet7" sheetId="8" r:id="rId7"/>
    <sheet name="Sheet8" sheetId="9" r:id="rId8"/>
    <sheet name="Sheet10" sheetId="11" r:id="rId9"/>
    <sheet name="Sheet11" sheetId="12" r:id="rId10"/>
  </sheets>
  <definedNames>
    <definedName name="_xlnm._FilterDatabase" localSheetId="0" hidden="1">Sheet1!$A$1:$L$1</definedName>
    <definedName name="_xlnm._FilterDatabase" localSheetId="2" hidden="1">Sheet4!$A$1:$N$21</definedName>
  </definedNames>
  <calcPr calcId="144525"/>
</workbook>
</file>

<file path=xl/sharedStrings.xml><?xml version="1.0" encoding="utf-8"?>
<sst xmlns="http://schemas.openxmlformats.org/spreadsheetml/2006/main" count="474">
  <si>
    <t>title</t>
  </si>
  <si>
    <t>code</t>
  </si>
  <si>
    <t>cost</t>
  </si>
  <si>
    <t>hold</t>
  </si>
  <si>
    <t>hold_rate</t>
  </si>
  <si>
    <t>low</t>
  </si>
  <si>
    <t>high</t>
  </si>
  <si>
    <t>new</t>
  </si>
  <si>
    <t>half</t>
  </si>
  <si>
    <t>d_value</t>
  </si>
  <si>
    <t>d_rate</t>
  </si>
  <si>
    <t>condition</t>
  </si>
  <si>
    <t>传媒</t>
  </si>
  <si>
    <t>5G</t>
  </si>
  <si>
    <t>地产</t>
  </si>
  <si>
    <t>纳指</t>
  </si>
  <si>
    <t>证券</t>
  </si>
  <si>
    <t>券商</t>
  </si>
  <si>
    <t>基建</t>
  </si>
  <si>
    <t>证保</t>
  </si>
  <si>
    <t>半导体</t>
  </si>
  <si>
    <t>芯片</t>
  </si>
  <si>
    <t>非银</t>
  </si>
  <si>
    <t>银行</t>
  </si>
  <si>
    <t>中概互联</t>
  </si>
  <si>
    <t>红利</t>
  </si>
  <si>
    <t>白银</t>
  </si>
  <si>
    <t>黄金</t>
  </si>
  <si>
    <t>中证500</t>
  </si>
  <si>
    <t>科技</t>
  </si>
  <si>
    <t>中小盘</t>
  </si>
  <si>
    <t>香港中小</t>
  </si>
  <si>
    <t>家电</t>
  </si>
  <si>
    <t>国防</t>
  </si>
  <si>
    <t>豆粕期货</t>
  </si>
  <si>
    <t>蓝筹</t>
  </si>
  <si>
    <t>上证50</t>
  </si>
  <si>
    <t>光伏</t>
  </si>
  <si>
    <t>沪深300</t>
  </si>
  <si>
    <t>50AH</t>
  </si>
  <si>
    <t>创新药</t>
  </si>
  <si>
    <t>有色期货</t>
  </si>
  <si>
    <t>医疗</t>
  </si>
  <si>
    <t>中证100</t>
  </si>
  <si>
    <t>标普500</t>
  </si>
  <si>
    <t>深红利</t>
  </si>
  <si>
    <t>创50</t>
  </si>
  <si>
    <t>消费</t>
  </si>
  <si>
    <t>医药</t>
  </si>
  <si>
    <t>煤炭</t>
  </si>
  <si>
    <t>油气</t>
  </si>
  <si>
    <t>环保</t>
  </si>
  <si>
    <t>创成长</t>
  </si>
  <si>
    <t>有色</t>
  </si>
  <si>
    <t>白酒</t>
  </si>
  <si>
    <t>新能车</t>
  </si>
  <si>
    <t>B3</t>
  </si>
  <si>
    <t>B2</t>
  </si>
  <si>
    <t>B1</t>
  </si>
  <si>
    <t>ZWD</t>
  </si>
  <si>
    <t>S1</t>
  </si>
  <si>
    <t>S2</t>
  </si>
  <si>
    <t>S3</t>
  </si>
  <si>
    <t>s50</t>
  </si>
  <si>
    <t>s180</t>
  </si>
  <si>
    <t>hs300</t>
  </si>
  <si>
    <t>cz</t>
  </si>
  <si>
    <t>zxb</t>
  </si>
  <si>
    <t>s100</t>
  </si>
  <si>
    <t>z100</t>
  </si>
  <si>
    <t>nz</t>
  </si>
  <si>
    <t>bp</t>
  </si>
  <si>
    <t>name</t>
  </si>
  <si>
    <t>today</t>
  </si>
  <si>
    <t>yesterday</t>
  </si>
  <si>
    <t>rise</t>
  </si>
  <si>
    <t>price</t>
  </si>
  <si>
    <t>convert</t>
  </si>
  <si>
    <t>国泰中证煤炭ETF</t>
  </si>
  <si>
    <t>广发中证全指能源ETF</t>
  </si>
  <si>
    <t>平安中证新能源汽车产业ETF</t>
  </si>
  <si>
    <t>华夏中证新能源汽车ETF</t>
  </si>
  <si>
    <t>国泰中证新能源汽车ETF</t>
  </si>
  <si>
    <t>汇添富中证能源ETF</t>
  </si>
  <si>
    <t>博时上证自然资源ETF</t>
  </si>
  <si>
    <t>南方中证申万有色金属ETF</t>
  </si>
  <si>
    <t>国联安上证商品ETF</t>
  </si>
  <si>
    <t>国泰中证钢铁ETF</t>
  </si>
  <si>
    <t>建信易盛能源化工期货ETF</t>
  </si>
  <si>
    <t>华泰柏瑞中证光伏产业ETF</t>
  </si>
  <si>
    <t>广发中证环保ETF</t>
  </si>
  <si>
    <t>大成有色金属期货ETF</t>
  </si>
  <si>
    <t>广发央企创新ETF</t>
  </si>
  <si>
    <t>富国央企创新ETF</t>
  </si>
  <si>
    <t>嘉实中证央企创新驱动ETF</t>
  </si>
  <si>
    <t>博时央企创新驱动ETF</t>
  </si>
  <si>
    <t>景顺长城红利低波动100ETF</t>
  </si>
  <si>
    <t>兴业上证红利低波动ETF</t>
  </si>
  <si>
    <t>建信上海金ETF</t>
  </si>
  <si>
    <t>广发中证全指原材料ETF</t>
  </si>
  <si>
    <t>富国上海金ETF</t>
  </si>
  <si>
    <t>广发上海金ETF</t>
  </si>
  <si>
    <t>中银上海金ETF</t>
  </si>
  <si>
    <t>华泰柏瑞上证红利ETF</t>
  </si>
  <si>
    <t>南方中证500原材料ETF</t>
  </si>
  <si>
    <t>中证南方小康产业指数ETF</t>
  </si>
  <si>
    <t>华泰柏瑞中证低波动ETF</t>
  </si>
  <si>
    <t>南方中国A股大盘红利低波50ETF</t>
  </si>
  <si>
    <t>华夏饲料豆粕期货ETF</t>
  </si>
  <si>
    <t>南方中证500工业ETF</t>
  </si>
  <si>
    <t>富国中证国企一带一路ETF</t>
  </si>
  <si>
    <t>招商中证红利ETF</t>
  </si>
  <si>
    <t>易方达中证国企一带一路ETF</t>
  </si>
  <si>
    <t>华安黄金易ETF</t>
  </si>
  <si>
    <t>申万菱信中证研发创新100ETF</t>
  </si>
  <si>
    <t>易方达中证红利ETF</t>
  </si>
  <si>
    <t>易方达黄金ETF</t>
  </si>
  <si>
    <t>博时黄金ETF</t>
  </si>
  <si>
    <t>博时红利ETF</t>
  </si>
  <si>
    <t>添富中证国企一带一路ETF</t>
  </si>
  <si>
    <t>华夏黄金ETF</t>
  </si>
  <si>
    <t>国泰黄金ETF</t>
  </si>
  <si>
    <t>前海开源黄金ETF</t>
  </si>
  <si>
    <t>银华中证研发创新100ETF</t>
  </si>
  <si>
    <t>工银瑞信黄金ETF</t>
  </si>
  <si>
    <t>易方达中证科技50ETF</t>
  </si>
  <si>
    <t>广发中证京津冀发展ETF</t>
  </si>
  <si>
    <t>博时可转债ETF</t>
  </si>
  <si>
    <t>银华巨潮小盘价值ETF</t>
  </si>
  <si>
    <t>鹏华中证传媒ETF</t>
  </si>
  <si>
    <t>招商深证TMT50ETF</t>
  </si>
  <si>
    <t>银华中证央企结构调整ETF</t>
  </si>
  <si>
    <t>嘉实中证500成长估值ETF</t>
  </si>
  <si>
    <t>博时央企结构调整ETF</t>
  </si>
  <si>
    <t>华夏中证央企ETF</t>
  </si>
  <si>
    <t>广发中证传媒ETF</t>
  </si>
  <si>
    <t>华安创业板50ETF</t>
  </si>
  <si>
    <t>浙商之江凤凰ETF</t>
  </si>
  <si>
    <t>中盘ETF</t>
  </si>
  <si>
    <t>嘉实沪深300红利低波动ETF</t>
  </si>
  <si>
    <t>华夏中小板ETF</t>
  </si>
  <si>
    <t>弘毅远方民企领先100ETF</t>
  </si>
  <si>
    <t>华泰柏瑞中证科技100ETF</t>
  </si>
  <si>
    <t>鹏华中证高股息龙头ETF</t>
  </si>
  <si>
    <t>华夏战略新兴成指ETF</t>
  </si>
  <si>
    <t>海富通上证投资级可转债ETF</t>
  </si>
  <si>
    <t>华泰柏瑞上证中小盘ETF</t>
  </si>
  <si>
    <t>富国中证军工龙头ETF</t>
  </si>
  <si>
    <t>鹏华中证酒ETF</t>
  </si>
  <si>
    <t>海富通上证5年期ETF</t>
  </si>
  <si>
    <t>易方达沪深300医药ETF</t>
  </si>
  <si>
    <t>平安中债-0-5年地方债ETF</t>
  </si>
  <si>
    <t>华宝中证军工ETF</t>
  </si>
  <si>
    <t>鹏华中证国防ETF</t>
  </si>
  <si>
    <t>兴业中证福建50ETF</t>
  </si>
  <si>
    <t>广发中证全指可选消费ETF</t>
  </si>
  <si>
    <t>海富通上证城投债ETF</t>
  </si>
  <si>
    <t>海富通上证10年期ETF</t>
  </si>
  <si>
    <t>华夏中证浙江国资创新发展ETF</t>
  </si>
  <si>
    <t>招商中债-0-3年长三角地方债ETF</t>
  </si>
  <si>
    <t>兴业上证1-5年期地方政府债ETF</t>
  </si>
  <si>
    <t>海富通中证短融ETF</t>
  </si>
  <si>
    <t>嘉实中证中期国债ETF</t>
  </si>
  <si>
    <t>平安中债债利差因子ETF</t>
  </si>
  <si>
    <t>鹏华中证5年地债ETF</t>
  </si>
  <si>
    <t>银华深证100ETF</t>
  </si>
  <si>
    <t>易方达深证100ETF</t>
  </si>
  <si>
    <t>方正富邦深证100ETF</t>
  </si>
  <si>
    <t>华夏3-5年信用债ETF</t>
  </si>
  <si>
    <t>华夏创成长ETF</t>
  </si>
  <si>
    <t>招商深证100ETF</t>
  </si>
  <si>
    <t>鹏华0-4年地方政府债ETF</t>
  </si>
  <si>
    <t>工银瑞信深证100ETF</t>
  </si>
  <si>
    <t>弘毅远方国证消费100ETF</t>
  </si>
  <si>
    <t>广发中证军工ETF</t>
  </si>
  <si>
    <t>国泰上证5年期国债ETF</t>
  </si>
  <si>
    <t>平安中证5-10年国债活跃券ETF</t>
  </si>
  <si>
    <t>国泰中证军工ETF</t>
  </si>
  <si>
    <t>西部利得创业板大盘ETF</t>
  </si>
  <si>
    <t>招商创业板大盘ETF</t>
  </si>
  <si>
    <t>大成中证500沪市ETF</t>
  </si>
  <si>
    <t>国泰上证10年期国债ETF</t>
  </si>
  <si>
    <t>富国中证10年期国债ETF</t>
  </si>
  <si>
    <t>易方达中证军工ETF</t>
  </si>
  <si>
    <t>银华中证创新药产业ETF</t>
  </si>
  <si>
    <t>大成深证成长40ETF</t>
  </si>
  <si>
    <t>海富通中证长三角领先ETF</t>
  </si>
  <si>
    <t>华安中证低波动ETF</t>
  </si>
  <si>
    <t>上证综指ETF</t>
  </si>
  <si>
    <t>广发中小板300ETF</t>
  </si>
  <si>
    <t>建信沪深300红利ETF</t>
  </si>
  <si>
    <t>南华中证杭州湾区ETF</t>
  </si>
  <si>
    <t>浦银安盛创业板ETF</t>
  </si>
  <si>
    <t>广发创业板ETF</t>
  </si>
  <si>
    <t>华泰柏瑞上证科创板50成份ETF</t>
  </si>
  <si>
    <t>汇添富深证300ETF</t>
  </si>
  <si>
    <t>南方创业板ETF</t>
  </si>
  <si>
    <t>嘉实创业板ETF</t>
  </si>
  <si>
    <t>华夏中证四川国改ETF</t>
  </si>
  <si>
    <t>平安创业板ETF</t>
  </si>
  <si>
    <t>工银瑞信创业板ETF</t>
  </si>
  <si>
    <t>中银证券创业板ETF</t>
  </si>
  <si>
    <t>融通创业板ETF</t>
  </si>
  <si>
    <t>富国创业板ETF</t>
  </si>
  <si>
    <t>华夏上证科创板50成份ETF</t>
  </si>
  <si>
    <t>易方达上证科创板50成份ETF</t>
  </si>
  <si>
    <t>工银上证科创50成份ETF</t>
  </si>
  <si>
    <t>博时创业板ETF</t>
  </si>
  <si>
    <t>易方达创业板ETF</t>
  </si>
  <si>
    <t>华夏创业板ETF</t>
  </si>
  <si>
    <t>天弘创业板ETF</t>
  </si>
  <si>
    <t>建信创业板ETF</t>
  </si>
  <si>
    <t>深F60ETF</t>
  </si>
  <si>
    <t>前海开源中证500等权ETF</t>
  </si>
  <si>
    <t>嘉实深证基本面120ETF</t>
  </si>
  <si>
    <t>汇添富中证上海国企ETF</t>
  </si>
  <si>
    <t>山西中证红利ETF</t>
  </si>
  <si>
    <t>大成深证成份ETF</t>
  </si>
  <si>
    <t>泰康中证500ETF</t>
  </si>
  <si>
    <t>南方上证380ETF</t>
  </si>
  <si>
    <t>鹏华中证500ETF</t>
  </si>
  <si>
    <t>景顺长城中证500ETF</t>
  </si>
  <si>
    <t>南方深证成份ETF</t>
  </si>
  <si>
    <t>工银深证红利ETF</t>
  </si>
  <si>
    <t>方正富邦中证500ETF</t>
  </si>
  <si>
    <t>华泰柏瑞中证500ETF</t>
  </si>
  <si>
    <t>中银证券中证500ETF</t>
  </si>
  <si>
    <t>华富中证人工智能产业ETF</t>
  </si>
  <si>
    <t>南方中证500ETF</t>
  </si>
  <si>
    <t>嘉实中证500ETF</t>
  </si>
  <si>
    <t>广发中证500ETF</t>
  </si>
  <si>
    <t>易方达中证500ETF</t>
  </si>
  <si>
    <t>华夏中证500ETF</t>
  </si>
  <si>
    <t>平安中证500ETF</t>
  </si>
  <si>
    <t>中融中证500ETF</t>
  </si>
  <si>
    <t>工银中证500ETF</t>
  </si>
  <si>
    <t>博时中证500ETF</t>
  </si>
  <si>
    <t>天弘中证500ETF</t>
  </si>
  <si>
    <t>兴业中证500ETF</t>
  </si>
  <si>
    <t>博时可持续发展100ETF</t>
  </si>
  <si>
    <t>国寿安保中证500ETF</t>
  </si>
  <si>
    <t>华安行业中性低波动ETF</t>
  </si>
  <si>
    <t>建信中证800ETF</t>
  </si>
  <si>
    <t>永赢中证500ETF</t>
  </si>
  <si>
    <t>富国中证800ETF</t>
  </si>
  <si>
    <t>平安MSCI中国A股国际ETF</t>
  </si>
  <si>
    <t>广发沪深300ETF</t>
  </si>
  <si>
    <t>景顺MSCI中国A股ETF</t>
  </si>
  <si>
    <t>国寿安保沪深300ETF</t>
  </si>
  <si>
    <t>国泰上证综合交易ETF</t>
  </si>
  <si>
    <t>国联安沪深300ETF</t>
  </si>
  <si>
    <t>方正富邦沪深300ETF</t>
  </si>
  <si>
    <t>工银瑞信中证800ETF</t>
  </si>
  <si>
    <t>招商中证浙江100ETF</t>
  </si>
  <si>
    <t>中银中证800ETF</t>
  </si>
  <si>
    <t>华安中证细分医药ETF</t>
  </si>
  <si>
    <t>银华MSCI中国A股ETF</t>
  </si>
  <si>
    <t>民生加银沪深300ETF</t>
  </si>
  <si>
    <t>永赢沪深300ETF</t>
  </si>
  <si>
    <t>添富中证800ETF</t>
  </si>
  <si>
    <t>浦银安盛MSCI中国A股ETF</t>
  </si>
  <si>
    <t>南方沪深300ETF</t>
  </si>
  <si>
    <t>易方达沪深300发起式ETF</t>
  </si>
  <si>
    <t>华夏沪深300ETF</t>
  </si>
  <si>
    <t>华安MSCI中国ETF</t>
  </si>
  <si>
    <t>新华MSCI中国A股国际ETF</t>
  </si>
  <si>
    <t>嘉实沪深300ETF</t>
  </si>
  <si>
    <t>华泰MSCI中国A股国际通ETF</t>
  </si>
  <si>
    <t>工银瑞信沪深300ETF</t>
  </si>
  <si>
    <t>兴业沪深300ETF</t>
  </si>
  <si>
    <t>华安沪深300ETF</t>
  </si>
  <si>
    <t>华宝上证180价值ETF</t>
  </si>
  <si>
    <t>华安上证龙头ETF</t>
  </si>
  <si>
    <t>华泰柏瑞沪深300ETF</t>
  </si>
  <si>
    <t>景顺中证科技传媒通信150ETF</t>
  </si>
  <si>
    <t>平安沪深300ETF</t>
  </si>
  <si>
    <t>富国中证科技50策略ETF</t>
  </si>
  <si>
    <t>添富沪深300ETF</t>
  </si>
  <si>
    <t>招商MSCI中国A股国际通ETF</t>
  </si>
  <si>
    <t>博时沪深300ETF</t>
  </si>
  <si>
    <t>天弘沪深300ETF</t>
  </si>
  <si>
    <t>泰康沪深300ETF</t>
  </si>
  <si>
    <t>建信MSCI中国A股国际通ETF</t>
  </si>
  <si>
    <t>易方达MSCI中国A股ETF</t>
  </si>
  <si>
    <t>易方达中证800ETF</t>
  </si>
  <si>
    <t>工银MSCI中国ETF</t>
  </si>
  <si>
    <t>招商上证港股通ETF</t>
  </si>
  <si>
    <t>上投摩根MSCI中国A股ETF</t>
  </si>
  <si>
    <t>华夏MSCIA股国际通ETF</t>
  </si>
  <si>
    <t>南方中证1000ETF</t>
  </si>
  <si>
    <t>南方MSCI中国A股国际通ETF</t>
  </si>
  <si>
    <t>华宝中证科技龙头ETF</t>
  </si>
  <si>
    <t>嘉实中证医药卫生ETF</t>
  </si>
  <si>
    <t>天弘中证计算机ETF</t>
  </si>
  <si>
    <t>国泰中证计算机ETF</t>
  </si>
  <si>
    <t>嘉实中证锐联基本面ETF</t>
  </si>
  <si>
    <t>汇添富中证医药卫生ETF</t>
  </si>
  <si>
    <t>交银上证180公司治理ETF</t>
  </si>
  <si>
    <t>海富通上证非周期ETF</t>
  </si>
  <si>
    <t>华安CES港股通ETF</t>
  </si>
  <si>
    <t>国泰中证全指家电ETF</t>
  </si>
  <si>
    <t>易方达中证香港证券投资ETF</t>
  </si>
  <si>
    <t>添富中证长三角ETF</t>
  </si>
  <si>
    <t>嘉实新兴科技100ETF</t>
  </si>
  <si>
    <t>广发中证100ETF</t>
  </si>
  <si>
    <t>大成中证100ETF</t>
  </si>
  <si>
    <t>中银中证100ETF</t>
  </si>
  <si>
    <t>海富通上证周期ETF</t>
  </si>
  <si>
    <t>华安上证180ETF</t>
  </si>
  <si>
    <t>中融央视财经50ETF</t>
  </si>
  <si>
    <t>华宝中证电子50ETF</t>
  </si>
  <si>
    <t>平安人工智能ETF</t>
  </si>
  <si>
    <t>大成中证500深市ETF</t>
  </si>
  <si>
    <t>国泰中证生物医药ETF</t>
  </si>
  <si>
    <t>华夏中证人工智能主题ETF</t>
  </si>
  <si>
    <t>平安粤港澳大湾区ETF</t>
  </si>
  <si>
    <t>易方达中证人工智能主题ETF</t>
  </si>
  <si>
    <t>嘉实先进制造100ETF</t>
  </si>
  <si>
    <t>大成MSCI中国A股质优价值100ETF</t>
  </si>
  <si>
    <t>建信责任ETF</t>
  </si>
  <si>
    <t>浦银安盛中证高股息ETF</t>
  </si>
  <si>
    <t>南方粤港澳大湾区ETF</t>
  </si>
  <si>
    <t>工银粤港澳大湾区创新100ETF</t>
  </si>
  <si>
    <t>广发粤港澳大湾区创新100ETF</t>
  </si>
  <si>
    <t>富国中证医药50ETF</t>
  </si>
  <si>
    <t>华夏粤港澳大湾区创新100ETF</t>
  </si>
  <si>
    <t>中银上证国企100ETF</t>
  </si>
  <si>
    <t>富国中证价值ETF</t>
  </si>
  <si>
    <t>建信港股通恒生中国ETF</t>
  </si>
  <si>
    <t>博时中证5G产业50ETF</t>
  </si>
  <si>
    <t>嘉实中关村A股ETF</t>
  </si>
  <si>
    <t>平安MSCI中国A股ETF</t>
  </si>
  <si>
    <t>平安港股通恒生中国企业ETF</t>
  </si>
  <si>
    <t>建信中证沪港深粤港澳大湾区发展主题ETF</t>
  </si>
  <si>
    <t>嘉实医药健康100ETF</t>
  </si>
  <si>
    <t>博时上证超大盘ETF</t>
  </si>
  <si>
    <t>国泰CES半导体芯片ETF</t>
  </si>
  <si>
    <t>广发中证全指信息技术ETF</t>
  </si>
  <si>
    <t>富国恒生中国企业ETF</t>
  </si>
  <si>
    <t>天弘中证电子ETF</t>
  </si>
  <si>
    <t>鹏华国证半导体芯片ETF</t>
  </si>
  <si>
    <t>华夏中证全指房地产ETF</t>
  </si>
  <si>
    <t>华夏国证半导体芯片ETF</t>
  </si>
  <si>
    <t>广发国证半导体芯片ETF</t>
  </si>
  <si>
    <t>南方中证房地产ETF</t>
  </si>
  <si>
    <t>银华中证农业主题ETF</t>
  </si>
  <si>
    <t>交银深证300价值ETF</t>
  </si>
  <si>
    <t>华夏创蓝筹ETF</t>
  </si>
  <si>
    <t>国联安中证半导体ETF</t>
  </si>
  <si>
    <t>招商上证消费80ETF</t>
  </si>
  <si>
    <t>广发中证全指医药卫生ETF</t>
  </si>
  <si>
    <t>工银上证央企ETF</t>
  </si>
  <si>
    <t>嘉实中创400ETF</t>
  </si>
  <si>
    <t>汇安富时中国A50ETF</t>
  </si>
  <si>
    <t>嘉实富时中国A50ETF</t>
  </si>
  <si>
    <t>汇安上证证券ETF</t>
  </si>
  <si>
    <t>博时大湾区ETF</t>
  </si>
  <si>
    <t>国泰中证全指通信设备ETF</t>
  </si>
  <si>
    <t>万家上证50ETF</t>
  </si>
  <si>
    <t>申万菱信上证50ETF</t>
  </si>
  <si>
    <t>易方达上证50ETF</t>
  </si>
  <si>
    <t>建信上证50ETF</t>
  </si>
  <si>
    <t>博时上证50ETF</t>
  </si>
  <si>
    <t>华夏上证50ETF</t>
  </si>
  <si>
    <t>工银瑞信上证50ETF</t>
  </si>
  <si>
    <t>富国中证全指证券公司ETF</t>
  </si>
  <si>
    <t>嘉实中证主要消费ETF</t>
  </si>
  <si>
    <t>鹏华国证证券龙头ETF</t>
  </si>
  <si>
    <t>华夏中证全指证券公司ETF</t>
  </si>
  <si>
    <t>建信中证全指证券公司ETF</t>
  </si>
  <si>
    <t>汇添富中证主要消费ETF</t>
  </si>
  <si>
    <t>华宝券商ETF</t>
  </si>
  <si>
    <t>南方中证全指证券公司ETF</t>
  </si>
  <si>
    <t>南方中证500信息技术ETF</t>
  </si>
  <si>
    <t>国寿安保创精选88ETF</t>
  </si>
  <si>
    <t>银华中证5G通信主题ETF</t>
  </si>
  <si>
    <t>易方达中证全指证券公司ETF</t>
  </si>
  <si>
    <t>华夏中证5G通信主题ETF</t>
  </si>
  <si>
    <t>国泰中证全指证券公司ETF</t>
  </si>
  <si>
    <t>华宝中证医疗ETF</t>
  </si>
  <si>
    <t>华夏消费ETF</t>
  </si>
  <si>
    <t>上证金融地产发起式ETF</t>
  </si>
  <si>
    <t>鹏华中证800证保ETF</t>
  </si>
  <si>
    <t>嘉实中证金融地产ETF</t>
  </si>
  <si>
    <t>华夏医药ETF</t>
  </si>
  <si>
    <t>国投瑞银金融地产ETF</t>
  </si>
  <si>
    <t>兴业上证180金融ETF</t>
  </si>
  <si>
    <t>国泰上证180金融ETF</t>
  </si>
  <si>
    <t>广发中证全指金融地产ETF</t>
  </si>
  <si>
    <t>易方达沪深300非银ETF</t>
  </si>
  <si>
    <t>鹏华中证银行ETF</t>
  </si>
  <si>
    <t>汇添富中证金融地产ETF</t>
  </si>
  <si>
    <t>富国中证银行ETF</t>
  </si>
  <si>
    <t>华夏中证银行ETF</t>
  </si>
  <si>
    <t>南方中证银行ETF</t>
  </si>
  <si>
    <t>华宝中证银行ETF</t>
  </si>
  <si>
    <t>汇添富中证银行ETF</t>
  </si>
  <si>
    <t>富国中证消费50ETF</t>
  </si>
  <si>
    <t>南方中证500医药卫生ETF</t>
  </si>
  <si>
    <t>rate</t>
  </si>
  <si>
    <t>m4</t>
  </si>
  <si>
    <t>m92030</t>
  </si>
  <si>
    <t>m102802</t>
  </si>
  <si>
    <t>rate2</t>
  </si>
  <si>
    <t>c100</t>
  </si>
  <si>
    <t>ta</t>
  </si>
  <si>
    <t>tn</t>
  </si>
  <si>
    <t>工商银行</t>
  </si>
  <si>
    <t>京东方A</t>
  </si>
  <si>
    <t>000725</t>
  </si>
  <si>
    <t>长江电力</t>
  </si>
  <si>
    <t>兴业银行</t>
  </si>
  <si>
    <t>东方财富</t>
  </si>
  <si>
    <t>万科A</t>
  </si>
  <si>
    <t>000002</t>
  </si>
  <si>
    <t>中信证券</t>
  </si>
  <si>
    <t>伊利股份</t>
  </si>
  <si>
    <t>招商银行</t>
  </si>
  <si>
    <t>海康威视</t>
  </si>
  <si>
    <t>002415</t>
  </si>
  <si>
    <t>立讯精密</t>
  </si>
  <si>
    <t>002475</t>
  </si>
  <si>
    <t>格力电器</t>
  </si>
  <si>
    <t>000651</t>
  </si>
  <si>
    <t>隆基股份</t>
  </si>
  <si>
    <t>中国平安</t>
  </si>
  <si>
    <t>美的集团</t>
  </si>
  <si>
    <t>000333</t>
  </si>
  <si>
    <t>恒瑞医药</t>
  </si>
  <si>
    <t>海天味业</t>
  </si>
  <si>
    <t>中国中免</t>
  </si>
  <si>
    <t>五粮液</t>
  </si>
  <si>
    <t>000858</t>
  </si>
  <si>
    <t>宁德时代</t>
  </si>
  <si>
    <t>贵州茅台</t>
  </si>
  <si>
    <r>
      <rPr>
        <b/>
        <sz val="10.5"/>
        <rFont val="宋体"/>
        <charset val="134"/>
      </rPr>
      <t>万科</t>
    </r>
    <r>
      <rPr>
        <b/>
        <sz val="10.5"/>
        <rFont val="Segoe UI"/>
        <charset val="134"/>
      </rPr>
      <t>A</t>
    </r>
  </si>
  <si>
    <t>迈瑞医疗</t>
  </si>
  <si>
    <r>
      <rPr>
        <b/>
        <sz val="10.5"/>
        <rFont val="宋体"/>
        <charset val="134"/>
      </rPr>
      <t>京东方</t>
    </r>
    <r>
      <rPr>
        <b/>
        <sz val="10.5"/>
        <rFont val="Segoe UI"/>
        <charset val="134"/>
      </rPr>
      <t>A</t>
    </r>
  </si>
  <si>
    <t>cyb</t>
  </si>
  <si>
    <t>cyb50</t>
  </si>
  <si>
    <t>bj</t>
  </si>
  <si>
    <t>xnc</t>
  </si>
  <si>
    <t>gf</t>
  </si>
  <si>
    <t>yy</t>
  </si>
  <si>
    <t>ny</t>
  </si>
  <si>
    <t>id</t>
  </si>
  <si>
    <t>last</t>
  </si>
  <si>
    <t>国泰中证新能源汽</t>
  </si>
  <si>
    <t>平安中证新能源汽</t>
  </si>
  <si>
    <t>广发中证环保ET</t>
  </si>
  <si>
    <t>国泰中证煤炭ET</t>
  </si>
  <si>
    <t>华夏饲料豆粕期货</t>
  </si>
  <si>
    <t>建信易盛能源化工</t>
  </si>
  <si>
    <t>华泰柏瑞中证光伏</t>
  </si>
  <si>
    <t>工银深证红利ET</t>
  </si>
  <si>
    <t>嘉实富时中国A50</t>
  </si>
  <si>
    <t>景顺MSCI中国</t>
  </si>
  <si>
    <t>南方中证申万有色</t>
  </si>
  <si>
    <t>国泰中证全指家电</t>
  </si>
  <si>
    <t>药明康德</t>
  </si>
  <si>
    <t>长春高新</t>
  </si>
  <si>
    <t>爱尔眼科</t>
  </si>
  <si>
    <t>智飞生物</t>
  </si>
  <si>
    <t>泰格医药</t>
  </si>
  <si>
    <t>沃森生物</t>
  </si>
  <si>
    <t>通策医疗</t>
  </si>
  <si>
    <t>康泰生物</t>
  </si>
  <si>
    <t>乐普医疗</t>
  </si>
  <si>
    <t>复星医药</t>
  </si>
  <si>
    <t>美年健康</t>
  </si>
  <si>
    <t>卫宁健康</t>
  </si>
  <si>
    <t>健帆生物</t>
  </si>
  <si>
    <t>凯莱英</t>
  </si>
  <si>
    <t>金域医学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</si>
</sst>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0.0000_ "/>
    <numFmt numFmtId="177" formatCode="0.00_ "/>
    <numFmt numFmtId="178" formatCode="0.000_ "/>
  </numFmts>
  <fonts count="3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name val="Segoe UI"/>
      <charset val="134"/>
    </font>
    <font>
      <sz val="10.5"/>
      <name val="宋体"/>
      <charset val="134"/>
    </font>
    <font>
      <b/>
      <sz val="10.5"/>
      <name val="宋体"/>
      <charset val="134"/>
    </font>
    <font>
      <sz val="9.75"/>
      <name val="Segoe UI"/>
      <charset val="134"/>
    </font>
    <font>
      <b/>
      <sz val="9.75"/>
      <name val="Segoe UI"/>
      <charset val="134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9"/>
      <color rgb="FF3F3F3F"/>
      <name val="??ì?"/>
      <charset val="134"/>
    </font>
    <font>
      <b/>
      <sz val="9"/>
      <color rgb="FF3F3F3F"/>
      <name val="Arial"/>
      <charset val="134"/>
    </font>
    <font>
      <b/>
      <sz val="9"/>
      <color rgb="FFE30000"/>
      <name val="Arial"/>
      <charset val="134"/>
    </font>
    <font>
      <b/>
      <sz val="9"/>
      <color rgb="FF007130"/>
      <name val="Arial"/>
      <charset val="134"/>
    </font>
    <font>
      <sz val="9"/>
      <name val="??ì?"/>
      <charset val="134"/>
    </font>
    <font>
      <b/>
      <sz val="9"/>
      <name val="Arial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0.5"/>
      <name val="Segoe U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5FFFF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F4F7FD"/>
      </bottom>
      <diagonal/>
    </border>
    <border>
      <left style="medium">
        <color rgb="FFA7C8E5"/>
      </left>
      <right style="medium">
        <color rgb="FFA7C8E5"/>
      </right>
      <top/>
      <bottom style="medium">
        <color rgb="FFA7C8E5"/>
      </bottom>
      <diagonal/>
    </border>
    <border>
      <left style="medium">
        <color rgb="FFA7C8E5"/>
      </left>
      <right style="medium">
        <color rgb="FFA7C8E5"/>
      </right>
      <top style="medium">
        <color rgb="FFA7C8E5"/>
      </top>
      <bottom style="medium">
        <color rgb="FFA7C8E5"/>
      </bottom>
      <diagonal/>
    </border>
    <border>
      <left style="medium">
        <color rgb="FFA7C8E5"/>
      </left>
      <right/>
      <top style="medium">
        <color rgb="FFA7C8E5"/>
      </top>
      <bottom style="medium">
        <color rgb="FFA7C8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9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22" borderId="10" applyNumberFormat="0" applyFon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5" fillId="11" borderId="9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7" fillId="27" borderId="11" applyNumberFormat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0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10" fontId="2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1" fillId="0" borderId="0" xfId="0" applyFont="1" applyFill="1">
      <alignment vertical="center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7" fillId="0" borderId="0" xfId="0" applyFont="1" applyFill="1">
      <alignment vertical="center"/>
    </xf>
    <xf numFmtId="0" fontId="5" fillId="0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8" fontId="0" fillId="0" borderId="0" xfId="0" applyNumberFormat="1">
      <alignment vertical="center"/>
    </xf>
    <xf numFmtId="0" fontId="0" fillId="0" borderId="0" xfId="0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178" fontId="0" fillId="0" borderId="0" xfId="0" applyNumberFormat="1" applyBorder="1" applyAlignment="1">
      <alignment horizontal="left" vertical="center"/>
    </xf>
    <xf numFmtId="178" fontId="8" fillId="0" borderId="0" xfId="0" applyNumberFormat="1" applyFont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10" fontId="13" fillId="3" borderId="2" xfId="0" applyNumberFormat="1" applyFont="1" applyFill="1" applyBorder="1" applyAlignment="1">
      <alignment horizontal="center" vertical="center" wrapText="1"/>
    </xf>
    <xf numFmtId="10" fontId="12" fillId="2" borderId="2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10" fontId="13" fillId="3" borderId="3" xfId="0" applyNumberFormat="1" applyFont="1" applyFill="1" applyBorder="1" applyAlignment="1">
      <alignment horizontal="center" vertical="center" wrapText="1"/>
    </xf>
    <xf numFmtId="10" fontId="12" fillId="2" borderId="4" xfId="0" applyNumberFormat="1" applyFont="1" applyFill="1" applyBorder="1" applyAlignment="1">
      <alignment horizontal="center" vertical="center" wrapText="1"/>
    </xf>
    <xf numFmtId="10" fontId="14" fillId="3" borderId="3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10" fontId="2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10" fontId="0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 wrapText="1"/>
    </xf>
    <xf numFmtId="10" fontId="0" fillId="0" borderId="0" xfId="0" applyNumberFormat="1" applyFont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10" fontId="16" fillId="0" borderId="5" xfId="0" applyNumberFormat="1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Font="1" applyAlignment="1">
      <alignment vertical="center"/>
    </xf>
    <xf numFmtId="177" fontId="0" fillId="0" borderId="0" xfId="0" applyNumberFormat="1" applyFont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177" fontId="0" fillId="4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0" fontId="0" fillId="0" borderId="0" xfId="0" applyFont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238125</xdr:colOff>
      <xdr:row>4</xdr:row>
      <xdr:rowOff>95250</xdr:rowOff>
    </xdr:to>
    <xdr:sp>
      <xdr:nvSpPr>
        <xdr:cNvPr id="1025" name="Host Control  1"/>
        <xdr:cNvSpPr/>
      </xdr:nvSpPr>
      <xdr:spPr>
        <a:xfrm>
          <a:off x="0" y="3429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1</xdr:col>
      <xdr:colOff>238125</xdr:colOff>
      <xdr:row>5</xdr:row>
      <xdr:rowOff>95250</xdr:rowOff>
    </xdr:to>
    <xdr:sp>
      <xdr:nvSpPr>
        <xdr:cNvPr id="1026" name="Host Control  2"/>
        <xdr:cNvSpPr/>
      </xdr:nvSpPr>
      <xdr:spPr>
        <a:xfrm>
          <a:off x="0" y="5143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238125</xdr:colOff>
      <xdr:row>7</xdr:row>
      <xdr:rowOff>66675</xdr:rowOff>
    </xdr:to>
    <xdr:sp>
      <xdr:nvSpPr>
        <xdr:cNvPr id="1027" name="Host Control  3"/>
        <xdr:cNvSpPr/>
      </xdr:nvSpPr>
      <xdr:spPr>
        <a:xfrm>
          <a:off x="0" y="68580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238125</xdr:colOff>
      <xdr:row>7</xdr:row>
      <xdr:rowOff>95250</xdr:rowOff>
    </xdr:to>
    <xdr:sp>
      <xdr:nvSpPr>
        <xdr:cNvPr id="1028" name="Host Control  4"/>
        <xdr:cNvSpPr/>
      </xdr:nvSpPr>
      <xdr:spPr>
        <a:xfrm>
          <a:off x="0" y="8572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238125</xdr:colOff>
      <xdr:row>8</xdr:row>
      <xdr:rowOff>95250</xdr:rowOff>
    </xdr:to>
    <xdr:sp>
      <xdr:nvSpPr>
        <xdr:cNvPr id="1029" name="Host Control  5"/>
        <xdr:cNvSpPr/>
      </xdr:nvSpPr>
      <xdr:spPr>
        <a:xfrm>
          <a:off x="0" y="10287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238125</xdr:colOff>
      <xdr:row>9</xdr:row>
      <xdr:rowOff>95250</xdr:rowOff>
    </xdr:to>
    <xdr:sp>
      <xdr:nvSpPr>
        <xdr:cNvPr id="1030" name="Host Control  6"/>
        <xdr:cNvSpPr/>
      </xdr:nvSpPr>
      <xdr:spPr>
        <a:xfrm>
          <a:off x="0" y="12001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1</xdr:col>
      <xdr:colOff>238125</xdr:colOff>
      <xdr:row>10</xdr:row>
      <xdr:rowOff>95250</xdr:rowOff>
    </xdr:to>
    <xdr:sp>
      <xdr:nvSpPr>
        <xdr:cNvPr id="1031" name="Host Control  7"/>
        <xdr:cNvSpPr/>
      </xdr:nvSpPr>
      <xdr:spPr>
        <a:xfrm>
          <a:off x="0" y="13716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1</xdr:col>
      <xdr:colOff>238125</xdr:colOff>
      <xdr:row>12</xdr:row>
      <xdr:rowOff>66675</xdr:rowOff>
    </xdr:to>
    <xdr:sp>
      <xdr:nvSpPr>
        <xdr:cNvPr id="1032" name="Host Control  8"/>
        <xdr:cNvSpPr/>
      </xdr:nvSpPr>
      <xdr:spPr>
        <a:xfrm>
          <a:off x="0" y="154305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238125</xdr:colOff>
      <xdr:row>12</xdr:row>
      <xdr:rowOff>95250</xdr:rowOff>
    </xdr:to>
    <xdr:sp>
      <xdr:nvSpPr>
        <xdr:cNvPr id="1033" name="Host Control  9"/>
        <xdr:cNvSpPr/>
      </xdr:nvSpPr>
      <xdr:spPr>
        <a:xfrm>
          <a:off x="0" y="17145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1</xdr:col>
      <xdr:colOff>238125</xdr:colOff>
      <xdr:row>13</xdr:row>
      <xdr:rowOff>95250</xdr:rowOff>
    </xdr:to>
    <xdr:sp>
      <xdr:nvSpPr>
        <xdr:cNvPr id="1034" name="Host Control  10"/>
        <xdr:cNvSpPr/>
      </xdr:nvSpPr>
      <xdr:spPr>
        <a:xfrm>
          <a:off x="0" y="18859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1</xdr:col>
      <xdr:colOff>238125</xdr:colOff>
      <xdr:row>15</xdr:row>
      <xdr:rowOff>66675</xdr:rowOff>
    </xdr:to>
    <xdr:sp>
      <xdr:nvSpPr>
        <xdr:cNvPr id="1035" name="Host Control  11"/>
        <xdr:cNvSpPr/>
      </xdr:nvSpPr>
      <xdr:spPr>
        <a:xfrm>
          <a:off x="0" y="205740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1</xdr:col>
      <xdr:colOff>238125</xdr:colOff>
      <xdr:row>16</xdr:row>
      <xdr:rowOff>66675</xdr:rowOff>
    </xdr:to>
    <xdr:sp>
      <xdr:nvSpPr>
        <xdr:cNvPr id="1036" name="Host Control  12"/>
        <xdr:cNvSpPr/>
      </xdr:nvSpPr>
      <xdr:spPr>
        <a:xfrm>
          <a:off x="0" y="222885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1</xdr:col>
      <xdr:colOff>238125</xdr:colOff>
      <xdr:row>16</xdr:row>
      <xdr:rowOff>95250</xdr:rowOff>
    </xdr:to>
    <xdr:sp>
      <xdr:nvSpPr>
        <xdr:cNvPr id="1037" name="Host Control  13"/>
        <xdr:cNvSpPr/>
      </xdr:nvSpPr>
      <xdr:spPr>
        <a:xfrm>
          <a:off x="0" y="24003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1</xdr:col>
      <xdr:colOff>238125</xdr:colOff>
      <xdr:row>17</xdr:row>
      <xdr:rowOff>95250</xdr:rowOff>
    </xdr:to>
    <xdr:sp>
      <xdr:nvSpPr>
        <xdr:cNvPr id="1038" name="Host Control  14"/>
        <xdr:cNvSpPr/>
      </xdr:nvSpPr>
      <xdr:spPr>
        <a:xfrm>
          <a:off x="0" y="25717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1</xdr:col>
      <xdr:colOff>238125</xdr:colOff>
      <xdr:row>18</xdr:row>
      <xdr:rowOff>95250</xdr:rowOff>
    </xdr:to>
    <xdr:sp>
      <xdr:nvSpPr>
        <xdr:cNvPr id="1039" name="Host Control  15"/>
        <xdr:cNvSpPr/>
      </xdr:nvSpPr>
      <xdr:spPr>
        <a:xfrm>
          <a:off x="0" y="27432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1</xdr:col>
      <xdr:colOff>238125</xdr:colOff>
      <xdr:row>19</xdr:row>
      <xdr:rowOff>95250</xdr:rowOff>
    </xdr:to>
    <xdr:sp>
      <xdr:nvSpPr>
        <xdr:cNvPr id="1040" name="Host Control  16"/>
        <xdr:cNvSpPr/>
      </xdr:nvSpPr>
      <xdr:spPr>
        <a:xfrm>
          <a:off x="0" y="29146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1</xdr:col>
      <xdr:colOff>238125</xdr:colOff>
      <xdr:row>21</xdr:row>
      <xdr:rowOff>66675</xdr:rowOff>
    </xdr:to>
    <xdr:sp>
      <xdr:nvSpPr>
        <xdr:cNvPr id="1041" name="Host Control  17"/>
        <xdr:cNvSpPr/>
      </xdr:nvSpPr>
      <xdr:spPr>
        <a:xfrm>
          <a:off x="0" y="308610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1</xdr:col>
      <xdr:colOff>238125</xdr:colOff>
      <xdr:row>21</xdr:row>
      <xdr:rowOff>95250</xdr:rowOff>
    </xdr:to>
    <xdr:sp>
      <xdr:nvSpPr>
        <xdr:cNvPr id="1042" name="Host Control  18"/>
        <xdr:cNvSpPr/>
      </xdr:nvSpPr>
      <xdr:spPr>
        <a:xfrm>
          <a:off x="0" y="32575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1</xdr:col>
      <xdr:colOff>238125</xdr:colOff>
      <xdr:row>23</xdr:row>
      <xdr:rowOff>66675</xdr:rowOff>
    </xdr:to>
    <xdr:sp>
      <xdr:nvSpPr>
        <xdr:cNvPr id="1043" name="Host Control  19"/>
        <xdr:cNvSpPr/>
      </xdr:nvSpPr>
      <xdr:spPr>
        <a:xfrm>
          <a:off x="0" y="342900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1</xdr:col>
      <xdr:colOff>238125</xdr:colOff>
      <xdr:row>23</xdr:row>
      <xdr:rowOff>95250</xdr:rowOff>
    </xdr:to>
    <xdr:sp>
      <xdr:nvSpPr>
        <xdr:cNvPr id="1044" name="Host Control  20"/>
        <xdr:cNvSpPr/>
      </xdr:nvSpPr>
      <xdr:spPr>
        <a:xfrm>
          <a:off x="0" y="36004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1</xdr:col>
      <xdr:colOff>238125</xdr:colOff>
      <xdr:row>24</xdr:row>
      <xdr:rowOff>95250</xdr:rowOff>
    </xdr:to>
    <xdr:sp>
      <xdr:nvSpPr>
        <xdr:cNvPr id="1045" name="Host Control  21"/>
        <xdr:cNvSpPr/>
      </xdr:nvSpPr>
      <xdr:spPr>
        <a:xfrm>
          <a:off x="0" y="37719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1</xdr:col>
      <xdr:colOff>238125</xdr:colOff>
      <xdr:row>25</xdr:row>
      <xdr:rowOff>95250</xdr:rowOff>
    </xdr:to>
    <xdr:sp>
      <xdr:nvSpPr>
        <xdr:cNvPr id="1046" name="Host Control  22"/>
        <xdr:cNvSpPr/>
      </xdr:nvSpPr>
      <xdr:spPr>
        <a:xfrm>
          <a:off x="0" y="39433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1</xdr:col>
      <xdr:colOff>238125</xdr:colOff>
      <xdr:row>26</xdr:row>
      <xdr:rowOff>95250</xdr:rowOff>
    </xdr:to>
    <xdr:sp>
      <xdr:nvSpPr>
        <xdr:cNvPr id="1047" name="Host Control  23"/>
        <xdr:cNvSpPr/>
      </xdr:nvSpPr>
      <xdr:spPr>
        <a:xfrm>
          <a:off x="0" y="41148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1</xdr:col>
      <xdr:colOff>238125</xdr:colOff>
      <xdr:row>27</xdr:row>
      <xdr:rowOff>95250</xdr:rowOff>
    </xdr:to>
    <xdr:sp>
      <xdr:nvSpPr>
        <xdr:cNvPr id="1048" name="Host Control  24"/>
        <xdr:cNvSpPr/>
      </xdr:nvSpPr>
      <xdr:spPr>
        <a:xfrm>
          <a:off x="0" y="42862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1</xdr:col>
      <xdr:colOff>238125</xdr:colOff>
      <xdr:row>28</xdr:row>
      <xdr:rowOff>95250</xdr:rowOff>
    </xdr:to>
    <xdr:sp>
      <xdr:nvSpPr>
        <xdr:cNvPr id="1049" name="Host Control  25"/>
        <xdr:cNvSpPr/>
      </xdr:nvSpPr>
      <xdr:spPr>
        <a:xfrm>
          <a:off x="0" y="44577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1</xdr:col>
      <xdr:colOff>238125</xdr:colOff>
      <xdr:row>29</xdr:row>
      <xdr:rowOff>95250</xdr:rowOff>
    </xdr:to>
    <xdr:sp>
      <xdr:nvSpPr>
        <xdr:cNvPr id="1050" name="Host Control  26"/>
        <xdr:cNvSpPr/>
      </xdr:nvSpPr>
      <xdr:spPr>
        <a:xfrm>
          <a:off x="0" y="46291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1</xdr:col>
      <xdr:colOff>238125</xdr:colOff>
      <xdr:row>30</xdr:row>
      <xdr:rowOff>95250</xdr:rowOff>
    </xdr:to>
    <xdr:sp>
      <xdr:nvSpPr>
        <xdr:cNvPr id="1051" name="Host Control  27"/>
        <xdr:cNvSpPr/>
      </xdr:nvSpPr>
      <xdr:spPr>
        <a:xfrm>
          <a:off x="0" y="48006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1</xdr:col>
      <xdr:colOff>238125</xdr:colOff>
      <xdr:row>32</xdr:row>
      <xdr:rowOff>66675</xdr:rowOff>
    </xdr:to>
    <xdr:sp>
      <xdr:nvSpPr>
        <xdr:cNvPr id="1052" name="Host Control  28"/>
        <xdr:cNvSpPr/>
      </xdr:nvSpPr>
      <xdr:spPr>
        <a:xfrm>
          <a:off x="0" y="497205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1</xdr:col>
      <xdr:colOff>238125</xdr:colOff>
      <xdr:row>32</xdr:row>
      <xdr:rowOff>95250</xdr:rowOff>
    </xdr:to>
    <xdr:sp>
      <xdr:nvSpPr>
        <xdr:cNvPr id="1053" name="Host Control  29"/>
        <xdr:cNvSpPr/>
      </xdr:nvSpPr>
      <xdr:spPr>
        <a:xfrm>
          <a:off x="0" y="51435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1</xdr:col>
      <xdr:colOff>238125</xdr:colOff>
      <xdr:row>34</xdr:row>
      <xdr:rowOff>66675</xdr:rowOff>
    </xdr:to>
    <xdr:sp>
      <xdr:nvSpPr>
        <xdr:cNvPr id="1054" name="Host Control  30"/>
        <xdr:cNvSpPr/>
      </xdr:nvSpPr>
      <xdr:spPr>
        <a:xfrm>
          <a:off x="0" y="531495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1</xdr:col>
      <xdr:colOff>238125</xdr:colOff>
      <xdr:row>34</xdr:row>
      <xdr:rowOff>95250</xdr:rowOff>
    </xdr:to>
    <xdr:sp>
      <xdr:nvSpPr>
        <xdr:cNvPr id="1055" name="Host Control  31"/>
        <xdr:cNvSpPr/>
      </xdr:nvSpPr>
      <xdr:spPr>
        <a:xfrm>
          <a:off x="0" y="54864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1</xdr:col>
      <xdr:colOff>238125</xdr:colOff>
      <xdr:row>35</xdr:row>
      <xdr:rowOff>95250</xdr:rowOff>
    </xdr:to>
    <xdr:sp>
      <xdr:nvSpPr>
        <xdr:cNvPr id="1056" name="Host Control  32"/>
        <xdr:cNvSpPr/>
      </xdr:nvSpPr>
      <xdr:spPr>
        <a:xfrm>
          <a:off x="0" y="56578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1</xdr:col>
      <xdr:colOff>238125</xdr:colOff>
      <xdr:row>37</xdr:row>
      <xdr:rowOff>66675</xdr:rowOff>
    </xdr:to>
    <xdr:sp>
      <xdr:nvSpPr>
        <xdr:cNvPr id="1057" name="Host Control  33"/>
        <xdr:cNvSpPr/>
      </xdr:nvSpPr>
      <xdr:spPr>
        <a:xfrm>
          <a:off x="0" y="582930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1</xdr:col>
      <xdr:colOff>238125</xdr:colOff>
      <xdr:row>37</xdr:row>
      <xdr:rowOff>95250</xdr:rowOff>
    </xdr:to>
    <xdr:sp>
      <xdr:nvSpPr>
        <xdr:cNvPr id="1058" name="Host Control  34"/>
        <xdr:cNvSpPr/>
      </xdr:nvSpPr>
      <xdr:spPr>
        <a:xfrm>
          <a:off x="0" y="60007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1</xdr:col>
      <xdr:colOff>238125</xdr:colOff>
      <xdr:row>39</xdr:row>
      <xdr:rowOff>66675</xdr:rowOff>
    </xdr:to>
    <xdr:sp>
      <xdr:nvSpPr>
        <xdr:cNvPr id="1059" name="Host Control  35"/>
        <xdr:cNvSpPr/>
      </xdr:nvSpPr>
      <xdr:spPr>
        <a:xfrm>
          <a:off x="0" y="617220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1</xdr:col>
      <xdr:colOff>238125</xdr:colOff>
      <xdr:row>39</xdr:row>
      <xdr:rowOff>95250</xdr:rowOff>
    </xdr:to>
    <xdr:sp>
      <xdr:nvSpPr>
        <xdr:cNvPr id="1060" name="Host Control  36"/>
        <xdr:cNvSpPr/>
      </xdr:nvSpPr>
      <xdr:spPr>
        <a:xfrm>
          <a:off x="0" y="63436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1</xdr:col>
      <xdr:colOff>238125</xdr:colOff>
      <xdr:row>41</xdr:row>
      <xdr:rowOff>66675</xdr:rowOff>
    </xdr:to>
    <xdr:sp>
      <xdr:nvSpPr>
        <xdr:cNvPr id="1061" name="Host Control  37"/>
        <xdr:cNvSpPr/>
      </xdr:nvSpPr>
      <xdr:spPr>
        <a:xfrm>
          <a:off x="0" y="651510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1</xdr:col>
      <xdr:colOff>238125</xdr:colOff>
      <xdr:row>41</xdr:row>
      <xdr:rowOff>95250</xdr:rowOff>
    </xdr:to>
    <xdr:sp>
      <xdr:nvSpPr>
        <xdr:cNvPr id="1062" name="Host Control  38"/>
        <xdr:cNvSpPr/>
      </xdr:nvSpPr>
      <xdr:spPr>
        <a:xfrm>
          <a:off x="0" y="66865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1</xdr:col>
      <xdr:colOff>238125</xdr:colOff>
      <xdr:row>42</xdr:row>
      <xdr:rowOff>95250</xdr:rowOff>
    </xdr:to>
    <xdr:sp>
      <xdr:nvSpPr>
        <xdr:cNvPr id="1063" name="Host Control  39"/>
        <xdr:cNvSpPr/>
      </xdr:nvSpPr>
      <xdr:spPr>
        <a:xfrm>
          <a:off x="0" y="68580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1</xdr:col>
      <xdr:colOff>238125</xdr:colOff>
      <xdr:row>42</xdr:row>
      <xdr:rowOff>123825</xdr:rowOff>
    </xdr:to>
    <xdr:sp>
      <xdr:nvSpPr>
        <xdr:cNvPr id="1064" name="Host Control  40"/>
        <xdr:cNvSpPr/>
      </xdr:nvSpPr>
      <xdr:spPr>
        <a:xfrm>
          <a:off x="0" y="7029450"/>
          <a:ext cx="685800" cy="2952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1</xdr:col>
      <xdr:colOff>238125</xdr:colOff>
      <xdr:row>43</xdr:row>
      <xdr:rowOff>123825</xdr:rowOff>
    </xdr:to>
    <xdr:sp>
      <xdr:nvSpPr>
        <xdr:cNvPr id="1065" name="Host Control  41"/>
        <xdr:cNvSpPr/>
      </xdr:nvSpPr>
      <xdr:spPr>
        <a:xfrm>
          <a:off x="0" y="7200900"/>
          <a:ext cx="685800" cy="2952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1</xdr:col>
      <xdr:colOff>238125</xdr:colOff>
      <xdr:row>46</xdr:row>
      <xdr:rowOff>66675</xdr:rowOff>
    </xdr:to>
    <xdr:sp>
      <xdr:nvSpPr>
        <xdr:cNvPr id="1066" name="Host Control  42"/>
        <xdr:cNvSpPr/>
      </xdr:nvSpPr>
      <xdr:spPr>
        <a:xfrm>
          <a:off x="0" y="737235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238125</xdr:colOff>
      <xdr:row>45</xdr:row>
      <xdr:rowOff>123825</xdr:rowOff>
    </xdr:to>
    <xdr:sp>
      <xdr:nvSpPr>
        <xdr:cNvPr id="1067" name="Host Control  43"/>
        <xdr:cNvSpPr/>
      </xdr:nvSpPr>
      <xdr:spPr>
        <a:xfrm>
          <a:off x="0" y="7543800"/>
          <a:ext cx="685800" cy="2952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238125</xdr:colOff>
      <xdr:row>46</xdr:row>
      <xdr:rowOff>123825</xdr:rowOff>
    </xdr:to>
    <xdr:sp>
      <xdr:nvSpPr>
        <xdr:cNvPr id="1068" name="Host Control  44"/>
        <xdr:cNvSpPr/>
      </xdr:nvSpPr>
      <xdr:spPr>
        <a:xfrm>
          <a:off x="0" y="7715250"/>
          <a:ext cx="685800" cy="2952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238125</xdr:colOff>
      <xdr:row>48</xdr:row>
      <xdr:rowOff>95250</xdr:rowOff>
    </xdr:to>
    <xdr:sp>
      <xdr:nvSpPr>
        <xdr:cNvPr id="1069" name="Host Control  45"/>
        <xdr:cNvSpPr/>
      </xdr:nvSpPr>
      <xdr:spPr>
        <a:xfrm>
          <a:off x="0" y="78867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238125</xdr:colOff>
      <xdr:row>50</xdr:row>
      <xdr:rowOff>66675</xdr:rowOff>
    </xdr:to>
    <xdr:sp>
      <xdr:nvSpPr>
        <xdr:cNvPr id="1070" name="Host Control  46"/>
        <xdr:cNvSpPr/>
      </xdr:nvSpPr>
      <xdr:spPr>
        <a:xfrm>
          <a:off x="0" y="805815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238125</xdr:colOff>
      <xdr:row>50</xdr:row>
      <xdr:rowOff>95250</xdr:rowOff>
    </xdr:to>
    <xdr:sp>
      <xdr:nvSpPr>
        <xdr:cNvPr id="1071" name="Host Control  47"/>
        <xdr:cNvSpPr/>
      </xdr:nvSpPr>
      <xdr:spPr>
        <a:xfrm>
          <a:off x="0" y="82296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238125</xdr:colOff>
      <xdr:row>51</xdr:row>
      <xdr:rowOff>95250</xdr:rowOff>
    </xdr:to>
    <xdr:sp>
      <xdr:nvSpPr>
        <xdr:cNvPr id="1072" name="Host Control  48"/>
        <xdr:cNvSpPr/>
      </xdr:nvSpPr>
      <xdr:spPr>
        <a:xfrm>
          <a:off x="0" y="84010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238125</xdr:colOff>
      <xdr:row>52</xdr:row>
      <xdr:rowOff>95250</xdr:rowOff>
    </xdr:to>
    <xdr:sp>
      <xdr:nvSpPr>
        <xdr:cNvPr id="1073" name="Host Control  49"/>
        <xdr:cNvSpPr/>
      </xdr:nvSpPr>
      <xdr:spPr>
        <a:xfrm>
          <a:off x="0" y="85725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1</xdr:col>
      <xdr:colOff>238125</xdr:colOff>
      <xdr:row>53</xdr:row>
      <xdr:rowOff>95250</xdr:rowOff>
    </xdr:to>
    <xdr:sp>
      <xdr:nvSpPr>
        <xdr:cNvPr id="1074" name="Host Control  50"/>
        <xdr:cNvSpPr/>
      </xdr:nvSpPr>
      <xdr:spPr>
        <a:xfrm>
          <a:off x="0" y="87439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1</xdr:col>
      <xdr:colOff>238125</xdr:colOff>
      <xdr:row>54</xdr:row>
      <xdr:rowOff>95250</xdr:rowOff>
    </xdr:to>
    <xdr:sp>
      <xdr:nvSpPr>
        <xdr:cNvPr id="1075" name="Host Control  51"/>
        <xdr:cNvSpPr/>
      </xdr:nvSpPr>
      <xdr:spPr>
        <a:xfrm>
          <a:off x="0" y="89154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1</xdr:col>
      <xdr:colOff>238125</xdr:colOff>
      <xdr:row>55</xdr:row>
      <xdr:rowOff>95250</xdr:rowOff>
    </xdr:to>
    <xdr:sp>
      <xdr:nvSpPr>
        <xdr:cNvPr id="1076" name="Host Control  52"/>
        <xdr:cNvSpPr/>
      </xdr:nvSpPr>
      <xdr:spPr>
        <a:xfrm>
          <a:off x="0" y="90868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1</xdr:col>
      <xdr:colOff>238125</xdr:colOff>
      <xdr:row>56</xdr:row>
      <xdr:rowOff>95250</xdr:rowOff>
    </xdr:to>
    <xdr:sp>
      <xdr:nvSpPr>
        <xdr:cNvPr id="1077" name="Host Control  53"/>
        <xdr:cNvSpPr/>
      </xdr:nvSpPr>
      <xdr:spPr>
        <a:xfrm>
          <a:off x="0" y="92583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1</xdr:col>
      <xdr:colOff>238125</xdr:colOff>
      <xdr:row>58</xdr:row>
      <xdr:rowOff>66675</xdr:rowOff>
    </xdr:to>
    <xdr:sp>
      <xdr:nvSpPr>
        <xdr:cNvPr id="1078" name="Host Control  54"/>
        <xdr:cNvSpPr/>
      </xdr:nvSpPr>
      <xdr:spPr>
        <a:xfrm>
          <a:off x="0" y="942975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1</xdr:col>
      <xdr:colOff>238125</xdr:colOff>
      <xdr:row>58</xdr:row>
      <xdr:rowOff>95250</xdr:rowOff>
    </xdr:to>
    <xdr:sp>
      <xdr:nvSpPr>
        <xdr:cNvPr id="1079" name="Host Control  55"/>
        <xdr:cNvSpPr/>
      </xdr:nvSpPr>
      <xdr:spPr>
        <a:xfrm>
          <a:off x="0" y="96012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1</xdr:col>
      <xdr:colOff>238125</xdr:colOff>
      <xdr:row>59</xdr:row>
      <xdr:rowOff>95250</xdr:rowOff>
    </xdr:to>
    <xdr:sp>
      <xdr:nvSpPr>
        <xdr:cNvPr id="1080" name="Host Control  56"/>
        <xdr:cNvSpPr/>
      </xdr:nvSpPr>
      <xdr:spPr>
        <a:xfrm>
          <a:off x="0" y="97726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1</xdr:col>
      <xdr:colOff>238125</xdr:colOff>
      <xdr:row>60</xdr:row>
      <xdr:rowOff>95250</xdr:rowOff>
    </xdr:to>
    <xdr:sp>
      <xdr:nvSpPr>
        <xdr:cNvPr id="1081" name="Host Control  57"/>
        <xdr:cNvSpPr/>
      </xdr:nvSpPr>
      <xdr:spPr>
        <a:xfrm>
          <a:off x="0" y="99441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1</xdr:col>
      <xdr:colOff>238125</xdr:colOff>
      <xdr:row>61</xdr:row>
      <xdr:rowOff>95250</xdr:rowOff>
    </xdr:to>
    <xdr:sp>
      <xdr:nvSpPr>
        <xdr:cNvPr id="1082" name="Host Control  58"/>
        <xdr:cNvSpPr/>
      </xdr:nvSpPr>
      <xdr:spPr>
        <a:xfrm>
          <a:off x="0" y="101155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1</xdr:col>
      <xdr:colOff>238125</xdr:colOff>
      <xdr:row>62</xdr:row>
      <xdr:rowOff>95250</xdr:rowOff>
    </xdr:to>
    <xdr:sp>
      <xdr:nvSpPr>
        <xdr:cNvPr id="1083" name="Host Control  59"/>
        <xdr:cNvSpPr/>
      </xdr:nvSpPr>
      <xdr:spPr>
        <a:xfrm>
          <a:off x="0" y="102870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1</xdr:col>
      <xdr:colOff>238125</xdr:colOff>
      <xdr:row>63</xdr:row>
      <xdr:rowOff>95250</xdr:rowOff>
    </xdr:to>
    <xdr:sp>
      <xdr:nvSpPr>
        <xdr:cNvPr id="1084" name="Host Control  60"/>
        <xdr:cNvSpPr/>
      </xdr:nvSpPr>
      <xdr:spPr>
        <a:xfrm>
          <a:off x="0" y="104584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1</xdr:col>
      <xdr:colOff>238125</xdr:colOff>
      <xdr:row>63</xdr:row>
      <xdr:rowOff>123825</xdr:rowOff>
    </xdr:to>
    <xdr:sp>
      <xdr:nvSpPr>
        <xdr:cNvPr id="1085" name="Host Control  61"/>
        <xdr:cNvSpPr/>
      </xdr:nvSpPr>
      <xdr:spPr>
        <a:xfrm>
          <a:off x="0" y="10629900"/>
          <a:ext cx="685800" cy="2952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1</xdr:col>
      <xdr:colOff>238125</xdr:colOff>
      <xdr:row>66</xdr:row>
      <xdr:rowOff>66675</xdr:rowOff>
    </xdr:to>
    <xdr:sp>
      <xdr:nvSpPr>
        <xdr:cNvPr id="1086" name="Host Control  62"/>
        <xdr:cNvSpPr/>
      </xdr:nvSpPr>
      <xdr:spPr>
        <a:xfrm>
          <a:off x="0" y="1080135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1</xdr:col>
      <xdr:colOff>238125</xdr:colOff>
      <xdr:row>66</xdr:row>
      <xdr:rowOff>95250</xdr:rowOff>
    </xdr:to>
    <xdr:sp>
      <xdr:nvSpPr>
        <xdr:cNvPr id="1087" name="Host Control  63"/>
        <xdr:cNvSpPr/>
      </xdr:nvSpPr>
      <xdr:spPr>
        <a:xfrm>
          <a:off x="0" y="109728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1</xdr:col>
      <xdr:colOff>238125</xdr:colOff>
      <xdr:row>68</xdr:row>
      <xdr:rowOff>66675</xdr:rowOff>
    </xdr:to>
    <xdr:sp>
      <xdr:nvSpPr>
        <xdr:cNvPr id="1088" name="Host Control  64"/>
        <xdr:cNvSpPr/>
      </xdr:nvSpPr>
      <xdr:spPr>
        <a:xfrm>
          <a:off x="0" y="1114425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1</xdr:col>
      <xdr:colOff>238125</xdr:colOff>
      <xdr:row>69</xdr:row>
      <xdr:rowOff>66675</xdr:rowOff>
    </xdr:to>
    <xdr:sp>
      <xdr:nvSpPr>
        <xdr:cNvPr id="1089" name="Host Control  65"/>
        <xdr:cNvSpPr/>
      </xdr:nvSpPr>
      <xdr:spPr>
        <a:xfrm>
          <a:off x="0" y="1131570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1</xdr:col>
      <xdr:colOff>238125</xdr:colOff>
      <xdr:row>69</xdr:row>
      <xdr:rowOff>95250</xdr:rowOff>
    </xdr:to>
    <xdr:sp>
      <xdr:nvSpPr>
        <xdr:cNvPr id="1090" name="Host Control  66"/>
        <xdr:cNvSpPr/>
      </xdr:nvSpPr>
      <xdr:spPr>
        <a:xfrm>
          <a:off x="0" y="114871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1</xdr:col>
      <xdr:colOff>238125</xdr:colOff>
      <xdr:row>70</xdr:row>
      <xdr:rowOff>95250</xdr:rowOff>
    </xdr:to>
    <xdr:sp>
      <xdr:nvSpPr>
        <xdr:cNvPr id="1091" name="Host Control  67"/>
        <xdr:cNvSpPr/>
      </xdr:nvSpPr>
      <xdr:spPr>
        <a:xfrm>
          <a:off x="0" y="116586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1</xdr:col>
      <xdr:colOff>238125</xdr:colOff>
      <xdr:row>72</xdr:row>
      <xdr:rowOff>66675</xdr:rowOff>
    </xdr:to>
    <xdr:sp>
      <xdr:nvSpPr>
        <xdr:cNvPr id="1092" name="Host Control  68"/>
        <xdr:cNvSpPr/>
      </xdr:nvSpPr>
      <xdr:spPr>
        <a:xfrm>
          <a:off x="0" y="1183005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238125</xdr:colOff>
      <xdr:row>72</xdr:row>
      <xdr:rowOff>95250</xdr:rowOff>
    </xdr:to>
    <xdr:sp>
      <xdr:nvSpPr>
        <xdr:cNvPr id="1093" name="Host Control  69"/>
        <xdr:cNvSpPr/>
      </xdr:nvSpPr>
      <xdr:spPr>
        <a:xfrm>
          <a:off x="0" y="120015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1</xdr:col>
      <xdr:colOff>238125</xdr:colOff>
      <xdr:row>73</xdr:row>
      <xdr:rowOff>95250</xdr:rowOff>
    </xdr:to>
    <xdr:sp>
      <xdr:nvSpPr>
        <xdr:cNvPr id="1094" name="Host Control  70"/>
        <xdr:cNvSpPr/>
      </xdr:nvSpPr>
      <xdr:spPr>
        <a:xfrm>
          <a:off x="0" y="121729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1</xdr:col>
      <xdr:colOff>238125</xdr:colOff>
      <xdr:row>74</xdr:row>
      <xdr:rowOff>95250</xdr:rowOff>
    </xdr:to>
    <xdr:sp>
      <xdr:nvSpPr>
        <xdr:cNvPr id="1095" name="Host Control  71"/>
        <xdr:cNvSpPr/>
      </xdr:nvSpPr>
      <xdr:spPr>
        <a:xfrm>
          <a:off x="0" y="123444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1</xdr:col>
      <xdr:colOff>238125</xdr:colOff>
      <xdr:row>75</xdr:row>
      <xdr:rowOff>95250</xdr:rowOff>
    </xdr:to>
    <xdr:sp>
      <xdr:nvSpPr>
        <xdr:cNvPr id="1096" name="Host Control  72"/>
        <xdr:cNvSpPr/>
      </xdr:nvSpPr>
      <xdr:spPr>
        <a:xfrm>
          <a:off x="0" y="125158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1</xdr:col>
      <xdr:colOff>238125</xdr:colOff>
      <xdr:row>76</xdr:row>
      <xdr:rowOff>95250</xdr:rowOff>
    </xdr:to>
    <xdr:sp>
      <xdr:nvSpPr>
        <xdr:cNvPr id="1097" name="Host Control  73"/>
        <xdr:cNvSpPr/>
      </xdr:nvSpPr>
      <xdr:spPr>
        <a:xfrm>
          <a:off x="0" y="126873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1</xdr:col>
      <xdr:colOff>238125</xdr:colOff>
      <xdr:row>78</xdr:row>
      <xdr:rowOff>66675</xdr:rowOff>
    </xdr:to>
    <xdr:sp>
      <xdr:nvSpPr>
        <xdr:cNvPr id="1098" name="Host Control  74"/>
        <xdr:cNvSpPr/>
      </xdr:nvSpPr>
      <xdr:spPr>
        <a:xfrm>
          <a:off x="0" y="1285875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76</xdr:row>
      <xdr:rowOff>0</xdr:rowOff>
    </xdr:from>
    <xdr:to>
      <xdr:col>1</xdr:col>
      <xdr:colOff>238125</xdr:colOff>
      <xdr:row>78</xdr:row>
      <xdr:rowOff>95250</xdr:rowOff>
    </xdr:to>
    <xdr:sp>
      <xdr:nvSpPr>
        <xdr:cNvPr id="1099" name="Host Control  75"/>
        <xdr:cNvSpPr/>
      </xdr:nvSpPr>
      <xdr:spPr>
        <a:xfrm>
          <a:off x="0" y="130302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1</xdr:col>
      <xdr:colOff>238125</xdr:colOff>
      <xdr:row>79</xdr:row>
      <xdr:rowOff>95250</xdr:rowOff>
    </xdr:to>
    <xdr:sp>
      <xdr:nvSpPr>
        <xdr:cNvPr id="1100" name="Host Control  76"/>
        <xdr:cNvSpPr/>
      </xdr:nvSpPr>
      <xdr:spPr>
        <a:xfrm>
          <a:off x="0" y="132016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78</xdr:row>
      <xdr:rowOff>0</xdr:rowOff>
    </xdr:from>
    <xdr:to>
      <xdr:col>1</xdr:col>
      <xdr:colOff>238125</xdr:colOff>
      <xdr:row>80</xdr:row>
      <xdr:rowOff>95250</xdr:rowOff>
    </xdr:to>
    <xdr:sp>
      <xdr:nvSpPr>
        <xdr:cNvPr id="1101" name="Host Control  77"/>
        <xdr:cNvSpPr/>
      </xdr:nvSpPr>
      <xdr:spPr>
        <a:xfrm>
          <a:off x="0" y="133731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79</xdr:row>
      <xdr:rowOff>0</xdr:rowOff>
    </xdr:from>
    <xdr:to>
      <xdr:col>1</xdr:col>
      <xdr:colOff>238125</xdr:colOff>
      <xdr:row>82</xdr:row>
      <xdr:rowOff>66675</xdr:rowOff>
    </xdr:to>
    <xdr:sp>
      <xdr:nvSpPr>
        <xdr:cNvPr id="1102" name="Host Control  78"/>
        <xdr:cNvSpPr/>
      </xdr:nvSpPr>
      <xdr:spPr>
        <a:xfrm>
          <a:off x="0" y="1354455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1</xdr:col>
      <xdr:colOff>238125</xdr:colOff>
      <xdr:row>82</xdr:row>
      <xdr:rowOff>95250</xdr:rowOff>
    </xdr:to>
    <xdr:sp>
      <xdr:nvSpPr>
        <xdr:cNvPr id="1103" name="Host Control  79"/>
        <xdr:cNvSpPr/>
      </xdr:nvSpPr>
      <xdr:spPr>
        <a:xfrm>
          <a:off x="0" y="137160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1</xdr:col>
      <xdr:colOff>238125</xdr:colOff>
      <xdr:row>83</xdr:row>
      <xdr:rowOff>95250</xdr:rowOff>
    </xdr:to>
    <xdr:sp>
      <xdr:nvSpPr>
        <xdr:cNvPr id="1104" name="Host Control  80"/>
        <xdr:cNvSpPr/>
      </xdr:nvSpPr>
      <xdr:spPr>
        <a:xfrm>
          <a:off x="0" y="138874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1</xdr:col>
      <xdr:colOff>238125</xdr:colOff>
      <xdr:row>85</xdr:row>
      <xdr:rowOff>66675</xdr:rowOff>
    </xdr:to>
    <xdr:sp>
      <xdr:nvSpPr>
        <xdr:cNvPr id="1105" name="Host Control  81"/>
        <xdr:cNvSpPr/>
      </xdr:nvSpPr>
      <xdr:spPr>
        <a:xfrm>
          <a:off x="0" y="1405890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1</xdr:col>
      <xdr:colOff>238125</xdr:colOff>
      <xdr:row>86</xdr:row>
      <xdr:rowOff>66675</xdr:rowOff>
    </xdr:to>
    <xdr:sp>
      <xdr:nvSpPr>
        <xdr:cNvPr id="1106" name="Host Control  82"/>
        <xdr:cNvSpPr/>
      </xdr:nvSpPr>
      <xdr:spPr>
        <a:xfrm>
          <a:off x="0" y="1423035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1</xdr:col>
      <xdr:colOff>238125</xdr:colOff>
      <xdr:row>87</xdr:row>
      <xdr:rowOff>66675</xdr:rowOff>
    </xdr:to>
    <xdr:sp>
      <xdr:nvSpPr>
        <xdr:cNvPr id="1107" name="Host Control  83"/>
        <xdr:cNvSpPr/>
      </xdr:nvSpPr>
      <xdr:spPr>
        <a:xfrm>
          <a:off x="0" y="1440180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1</xdr:col>
      <xdr:colOff>238125</xdr:colOff>
      <xdr:row>87</xdr:row>
      <xdr:rowOff>95250</xdr:rowOff>
    </xdr:to>
    <xdr:sp>
      <xdr:nvSpPr>
        <xdr:cNvPr id="1108" name="Host Control  84"/>
        <xdr:cNvSpPr/>
      </xdr:nvSpPr>
      <xdr:spPr>
        <a:xfrm>
          <a:off x="0" y="145732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1</xdr:col>
      <xdr:colOff>238125</xdr:colOff>
      <xdr:row>88</xdr:row>
      <xdr:rowOff>95250</xdr:rowOff>
    </xdr:to>
    <xdr:sp>
      <xdr:nvSpPr>
        <xdr:cNvPr id="1109" name="Host Control  85"/>
        <xdr:cNvSpPr/>
      </xdr:nvSpPr>
      <xdr:spPr>
        <a:xfrm>
          <a:off x="0" y="147447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1</xdr:col>
      <xdr:colOff>238125</xdr:colOff>
      <xdr:row>89</xdr:row>
      <xdr:rowOff>95250</xdr:rowOff>
    </xdr:to>
    <xdr:sp>
      <xdr:nvSpPr>
        <xdr:cNvPr id="1110" name="Host Control  86"/>
        <xdr:cNvSpPr/>
      </xdr:nvSpPr>
      <xdr:spPr>
        <a:xfrm>
          <a:off x="0" y="149161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88</xdr:row>
      <xdr:rowOff>0</xdr:rowOff>
    </xdr:from>
    <xdr:to>
      <xdr:col>1</xdr:col>
      <xdr:colOff>238125</xdr:colOff>
      <xdr:row>90</xdr:row>
      <xdr:rowOff>95250</xdr:rowOff>
    </xdr:to>
    <xdr:sp>
      <xdr:nvSpPr>
        <xdr:cNvPr id="1111" name="Host Control  87"/>
        <xdr:cNvSpPr/>
      </xdr:nvSpPr>
      <xdr:spPr>
        <a:xfrm>
          <a:off x="0" y="150876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1</xdr:col>
      <xdr:colOff>238125</xdr:colOff>
      <xdr:row>91</xdr:row>
      <xdr:rowOff>95250</xdr:rowOff>
    </xdr:to>
    <xdr:sp>
      <xdr:nvSpPr>
        <xdr:cNvPr id="1112" name="Host Control  88"/>
        <xdr:cNvSpPr/>
      </xdr:nvSpPr>
      <xdr:spPr>
        <a:xfrm>
          <a:off x="0" y="152590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1</xdr:col>
      <xdr:colOff>238125</xdr:colOff>
      <xdr:row>92</xdr:row>
      <xdr:rowOff>95250</xdr:rowOff>
    </xdr:to>
    <xdr:sp>
      <xdr:nvSpPr>
        <xdr:cNvPr id="1113" name="Host Control  89"/>
        <xdr:cNvSpPr/>
      </xdr:nvSpPr>
      <xdr:spPr>
        <a:xfrm>
          <a:off x="0" y="154305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1</xdr:col>
      <xdr:colOff>238125</xdr:colOff>
      <xdr:row>93</xdr:row>
      <xdr:rowOff>95250</xdr:rowOff>
    </xdr:to>
    <xdr:sp>
      <xdr:nvSpPr>
        <xdr:cNvPr id="1114" name="Host Control  90"/>
        <xdr:cNvSpPr/>
      </xdr:nvSpPr>
      <xdr:spPr>
        <a:xfrm>
          <a:off x="0" y="156019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1</xdr:col>
      <xdr:colOff>238125</xdr:colOff>
      <xdr:row>94</xdr:row>
      <xdr:rowOff>95250</xdr:rowOff>
    </xdr:to>
    <xdr:sp>
      <xdr:nvSpPr>
        <xdr:cNvPr id="1115" name="Host Control  91"/>
        <xdr:cNvSpPr/>
      </xdr:nvSpPr>
      <xdr:spPr>
        <a:xfrm>
          <a:off x="0" y="157734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1</xdr:col>
      <xdr:colOff>238125</xdr:colOff>
      <xdr:row>95</xdr:row>
      <xdr:rowOff>95250</xdr:rowOff>
    </xdr:to>
    <xdr:sp>
      <xdr:nvSpPr>
        <xdr:cNvPr id="1116" name="Host Control  92"/>
        <xdr:cNvSpPr/>
      </xdr:nvSpPr>
      <xdr:spPr>
        <a:xfrm>
          <a:off x="0" y="159448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1</xdr:col>
      <xdr:colOff>238125</xdr:colOff>
      <xdr:row>96</xdr:row>
      <xdr:rowOff>95250</xdr:rowOff>
    </xdr:to>
    <xdr:sp>
      <xdr:nvSpPr>
        <xdr:cNvPr id="1117" name="Host Control  93"/>
        <xdr:cNvSpPr/>
      </xdr:nvSpPr>
      <xdr:spPr>
        <a:xfrm>
          <a:off x="0" y="161163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1</xdr:col>
      <xdr:colOff>238125</xdr:colOff>
      <xdr:row>97</xdr:row>
      <xdr:rowOff>95250</xdr:rowOff>
    </xdr:to>
    <xdr:sp>
      <xdr:nvSpPr>
        <xdr:cNvPr id="1118" name="Host Control  94"/>
        <xdr:cNvSpPr/>
      </xdr:nvSpPr>
      <xdr:spPr>
        <a:xfrm>
          <a:off x="0" y="162877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1</xdr:col>
      <xdr:colOff>238125</xdr:colOff>
      <xdr:row>98</xdr:row>
      <xdr:rowOff>95250</xdr:rowOff>
    </xdr:to>
    <xdr:sp>
      <xdr:nvSpPr>
        <xdr:cNvPr id="1119" name="Host Control  95"/>
        <xdr:cNvSpPr/>
      </xdr:nvSpPr>
      <xdr:spPr>
        <a:xfrm>
          <a:off x="0" y="164592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1</xdr:col>
      <xdr:colOff>238125</xdr:colOff>
      <xdr:row>100</xdr:row>
      <xdr:rowOff>66675</xdr:rowOff>
    </xdr:to>
    <xdr:sp>
      <xdr:nvSpPr>
        <xdr:cNvPr id="1120" name="Host Control  96"/>
        <xdr:cNvSpPr/>
      </xdr:nvSpPr>
      <xdr:spPr>
        <a:xfrm>
          <a:off x="0" y="1663065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1</xdr:col>
      <xdr:colOff>238125</xdr:colOff>
      <xdr:row>100</xdr:row>
      <xdr:rowOff>95250</xdr:rowOff>
    </xdr:to>
    <xdr:sp>
      <xdr:nvSpPr>
        <xdr:cNvPr id="1121" name="Host Control  97"/>
        <xdr:cNvSpPr/>
      </xdr:nvSpPr>
      <xdr:spPr>
        <a:xfrm>
          <a:off x="0" y="168021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1</xdr:col>
      <xdr:colOff>238125</xdr:colOff>
      <xdr:row>101</xdr:row>
      <xdr:rowOff>95250</xdr:rowOff>
    </xdr:to>
    <xdr:sp>
      <xdr:nvSpPr>
        <xdr:cNvPr id="1122" name="Host Control  98"/>
        <xdr:cNvSpPr/>
      </xdr:nvSpPr>
      <xdr:spPr>
        <a:xfrm>
          <a:off x="0" y="169735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1</xdr:col>
      <xdr:colOff>238125</xdr:colOff>
      <xdr:row>103</xdr:row>
      <xdr:rowOff>66675</xdr:rowOff>
    </xdr:to>
    <xdr:sp>
      <xdr:nvSpPr>
        <xdr:cNvPr id="1123" name="Host Control  99"/>
        <xdr:cNvSpPr/>
      </xdr:nvSpPr>
      <xdr:spPr>
        <a:xfrm>
          <a:off x="0" y="1714500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1</xdr:col>
      <xdr:colOff>238125</xdr:colOff>
      <xdr:row>103</xdr:row>
      <xdr:rowOff>95250</xdr:rowOff>
    </xdr:to>
    <xdr:sp>
      <xdr:nvSpPr>
        <xdr:cNvPr id="1124" name="Host Control  100"/>
        <xdr:cNvSpPr/>
      </xdr:nvSpPr>
      <xdr:spPr>
        <a:xfrm>
          <a:off x="0" y="173164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1</xdr:col>
      <xdr:colOff>238125</xdr:colOff>
      <xdr:row>104</xdr:row>
      <xdr:rowOff>95250</xdr:rowOff>
    </xdr:to>
    <xdr:sp>
      <xdr:nvSpPr>
        <xdr:cNvPr id="1125" name="Host Control  101"/>
        <xdr:cNvSpPr/>
      </xdr:nvSpPr>
      <xdr:spPr>
        <a:xfrm>
          <a:off x="0" y="174879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1</xdr:col>
      <xdr:colOff>238125</xdr:colOff>
      <xdr:row>105</xdr:row>
      <xdr:rowOff>95250</xdr:rowOff>
    </xdr:to>
    <xdr:sp>
      <xdr:nvSpPr>
        <xdr:cNvPr id="1126" name="Host Control  102"/>
        <xdr:cNvSpPr/>
      </xdr:nvSpPr>
      <xdr:spPr>
        <a:xfrm>
          <a:off x="0" y="176593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1</xdr:col>
      <xdr:colOff>238125</xdr:colOff>
      <xdr:row>106</xdr:row>
      <xdr:rowOff>95250</xdr:rowOff>
    </xdr:to>
    <xdr:sp>
      <xdr:nvSpPr>
        <xdr:cNvPr id="1127" name="Host Control  103"/>
        <xdr:cNvSpPr/>
      </xdr:nvSpPr>
      <xdr:spPr>
        <a:xfrm>
          <a:off x="0" y="178308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238125</xdr:colOff>
      <xdr:row>107</xdr:row>
      <xdr:rowOff>95250</xdr:rowOff>
    </xdr:to>
    <xdr:sp>
      <xdr:nvSpPr>
        <xdr:cNvPr id="1128" name="Host Control  104"/>
        <xdr:cNvSpPr/>
      </xdr:nvSpPr>
      <xdr:spPr>
        <a:xfrm>
          <a:off x="0" y="180022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238125</xdr:colOff>
      <xdr:row>108</xdr:row>
      <xdr:rowOff>95250</xdr:rowOff>
    </xdr:to>
    <xdr:sp>
      <xdr:nvSpPr>
        <xdr:cNvPr id="1129" name="Host Control  105"/>
        <xdr:cNvSpPr/>
      </xdr:nvSpPr>
      <xdr:spPr>
        <a:xfrm>
          <a:off x="0" y="181737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238125</xdr:colOff>
      <xdr:row>109</xdr:row>
      <xdr:rowOff>95250</xdr:rowOff>
    </xdr:to>
    <xdr:sp>
      <xdr:nvSpPr>
        <xdr:cNvPr id="1130" name="Host Control  106"/>
        <xdr:cNvSpPr/>
      </xdr:nvSpPr>
      <xdr:spPr>
        <a:xfrm>
          <a:off x="0" y="183451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238125</xdr:colOff>
      <xdr:row>110</xdr:row>
      <xdr:rowOff>95250</xdr:rowOff>
    </xdr:to>
    <xdr:sp>
      <xdr:nvSpPr>
        <xdr:cNvPr id="1131" name="Host Control  107"/>
        <xdr:cNvSpPr/>
      </xdr:nvSpPr>
      <xdr:spPr>
        <a:xfrm>
          <a:off x="0" y="185166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238125</xdr:colOff>
      <xdr:row>111</xdr:row>
      <xdr:rowOff>95250</xdr:rowOff>
    </xdr:to>
    <xdr:sp>
      <xdr:nvSpPr>
        <xdr:cNvPr id="1132" name="Host Control  108"/>
        <xdr:cNvSpPr/>
      </xdr:nvSpPr>
      <xdr:spPr>
        <a:xfrm>
          <a:off x="0" y="186880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238125</xdr:colOff>
      <xdr:row>113</xdr:row>
      <xdr:rowOff>66675</xdr:rowOff>
    </xdr:to>
    <xdr:sp>
      <xdr:nvSpPr>
        <xdr:cNvPr id="1133" name="Host Control  109"/>
        <xdr:cNvSpPr/>
      </xdr:nvSpPr>
      <xdr:spPr>
        <a:xfrm>
          <a:off x="0" y="1885950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238125</xdr:colOff>
      <xdr:row>113</xdr:row>
      <xdr:rowOff>95250</xdr:rowOff>
    </xdr:to>
    <xdr:sp>
      <xdr:nvSpPr>
        <xdr:cNvPr id="1134" name="Host Control  110"/>
        <xdr:cNvSpPr/>
      </xdr:nvSpPr>
      <xdr:spPr>
        <a:xfrm>
          <a:off x="0" y="190309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238125</xdr:colOff>
      <xdr:row>113</xdr:row>
      <xdr:rowOff>123825</xdr:rowOff>
    </xdr:to>
    <xdr:sp>
      <xdr:nvSpPr>
        <xdr:cNvPr id="1135" name="Host Control  111"/>
        <xdr:cNvSpPr/>
      </xdr:nvSpPr>
      <xdr:spPr>
        <a:xfrm>
          <a:off x="0" y="19202400"/>
          <a:ext cx="685800" cy="2952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238125</xdr:colOff>
      <xdr:row>115</xdr:row>
      <xdr:rowOff>95250</xdr:rowOff>
    </xdr:to>
    <xdr:sp>
      <xdr:nvSpPr>
        <xdr:cNvPr id="1136" name="Host Control  112"/>
        <xdr:cNvSpPr/>
      </xdr:nvSpPr>
      <xdr:spPr>
        <a:xfrm>
          <a:off x="0" y="193738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238125</xdr:colOff>
      <xdr:row>116</xdr:row>
      <xdr:rowOff>95250</xdr:rowOff>
    </xdr:to>
    <xdr:sp>
      <xdr:nvSpPr>
        <xdr:cNvPr id="1137" name="Host Control  113"/>
        <xdr:cNvSpPr/>
      </xdr:nvSpPr>
      <xdr:spPr>
        <a:xfrm>
          <a:off x="0" y="195453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238125</xdr:colOff>
      <xdr:row>117</xdr:row>
      <xdr:rowOff>95250</xdr:rowOff>
    </xdr:to>
    <xdr:sp>
      <xdr:nvSpPr>
        <xdr:cNvPr id="1138" name="Host Control  114"/>
        <xdr:cNvSpPr/>
      </xdr:nvSpPr>
      <xdr:spPr>
        <a:xfrm>
          <a:off x="0" y="197167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238125</xdr:colOff>
      <xdr:row>118</xdr:row>
      <xdr:rowOff>95250</xdr:rowOff>
    </xdr:to>
    <xdr:sp>
      <xdr:nvSpPr>
        <xdr:cNvPr id="1139" name="Host Control  115"/>
        <xdr:cNvSpPr/>
      </xdr:nvSpPr>
      <xdr:spPr>
        <a:xfrm>
          <a:off x="0" y="198882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238125</xdr:colOff>
      <xdr:row>119</xdr:row>
      <xdr:rowOff>95250</xdr:rowOff>
    </xdr:to>
    <xdr:sp>
      <xdr:nvSpPr>
        <xdr:cNvPr id="1140" name="Host Control  116"/>
        <xdr:cNvSpPr/>
      </xdr:nvSpPr>
      <xdr:spPr>
        <a:xfrm>
          <a:off x="0" y="200596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238125</xdr:colOff>
      <xdr:row>121</xdr:row>
      <xdr:rowOff>66675</xdr:rowOff>
    </xdr:to>
    <xdr:sp>
      <xdr:nvSpPr>
        <xdr:cNvPr id="1141" name="Host Control  117"/>
        <xdr:cNvSpPr/>
      </xdr:nvSpPr>
      <xdr:spPr>
        <a:xfrm>
          <a:off x="0" y="2023110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238125</xdr:colOff>
      <xdr:row>121</xdr:row>
      <xdr:rowOff>95250</xdr:rowOff>
    </xdr:to>
    <xdr:sp>
      <xdr:nvSpPr>
        <xdr:cNvPr id="1142" name="Host Control  118"/>
        <xdr:cNvSpPr/>
      </xdr:nvSpPr>
      <xdr:spPr>
        <a:xfrm>
          <a:off x="0" y="204025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238125</xdr:colOff>
      <xdr:row>122</xdr:row>
      <xdr:rowOff>95250</xdr:rowOff>
    </xdr:to>
    <xdr:sp>
      <xdr:nvSpPr>
        <xdr:cNvPr id="1143" name="Host Control  119"/>
        <xdr:cNvSpPr/>
      </xdr:nvSpPr>
      <xdr:spPr>
        <a:xfrm>
          <a:off x="0" y="205740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238125</xdr:colOff>
      <xdr:row>123</xdr:row>
      <xdr:rowOff>95250</xdr:rowOff>
    </xdr:to>
    <xdr:sp>
      <xdr:nvSpPr>
        <xdr:cNvPr id="1144" name="Host Control  120"/>
        <xdr:cNvSpPr/>
      </xdr:nvSpPr>
      <xdr:spPr>
        <a:xfrm>
          <a:off x="0" y="207454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238125</xdr:colOff>
      <xdr:row>124</xdr:row>
      <xdr:rowOff>95250</xdr:rowOff>
    </xdr:to>
    <xdr:sp>
      <xdr:nvSpPr>
        <xdr:cNvPr id="1145" name="Host Control  121"/>
        <xdr:cNvSpPr/>
      </xdr:nvSpPr>
      <xdr:spPr>
        <a:xfrm>
          <a:off x="0" y="209169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238125</xdr:colOff>
      <xdr:row>125</xdr:row>
      <xdr:rowOff>95250</xdr:rowOff>
    </xdr:to>
    <xdr:sp>
      <xdr:nvSpPr>
        <xdr:cNvPr id="1146" name="Host Control  122"/>
        <xdr:cNvSpPr/>
      </xdr:nvSpPr>
      <xdr:spPr>
        <a:xfrm>
          <a:off x="0" y="210883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238125</xdr:colOff>
      <xdr:row>126</xdr:row>
      <xdr:rowOff>95250</xdr:rowOff>
    </xdr:to>
    <xdr:sp>
      <xdr:nvSpPr>
        <xdr:cNvPr id="1147" name="Host Control  123"/>
        <xdr:cNvSpPr/>
      </xdr:nvSpPr>
      <xdr:spPr>
        <a:xfrm>
          <a:off x="0" y="212598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238125</xdr:colOff>
      <xdr:row>127</xdr:row>
      <xdr:rowOff>95250</xdr:rowOff>
    </xdr:to>
    <xdr:sp>
      <xdr:nvSpPr>
        <xdr:cNvPr id="1148" name="Host Control  124"/>
        <xdr:cNvSpPr/>
      </xdr:nvSpPr>
      <xdr:spPr>
        <a:xfrm>
          <a:off x="0" y="214312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238125</xdr:colOff>
      <xdr:row>128</xdr:row>
      <xdr:rowOff>95250</xdr:rowOff>
    </xdr:to>
    <xdr:sp>
      <xdr:nvSpPr>
        <xdr:cNvPr id="1149" name="Host Control  125"/>
        <xdr:cNvSpPr/>
      </xdr:nvSpPr>
      <xdr:spPr>
        <a:xfrm>
          <a:off x="0" y="216027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238125</xdr:colOff>
      <xdr:row>129</xdr:row>
      <xdr:rowOff>95250</xdr:rowOff>
    </xdr:to>
    <xdr:sp>
      <xdr:nvSpPr>
        <xdr:cNvPr id="1150" name="Host Control  126"/>
        <xdr:cNvSpPr/>
      </xdr:nvSpPr>
      <xdr:spPr>
        <a:xfrm>
          <a:off x="0" y="217741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238125</xdr:colOff>
      <xdr:row>131</xdr:row>
      <xdr:rowOff>66675</xdr:rowOff>
    </xdr:to>
    <xdr:sp>
      <xdr:nvSpPr>
        <xdr:cNvPr id="1151" name="Host Control  127"/>
        <xdr:cNvSpPr/>
      </xdr:nvSpPr>
      <xdr:spPr>
        <a:xfrm>
          <a:off x="0" y="2194560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238125</xdr:colOff>
      <xdr:row>132</xdr:row>
      <xdr:rowOff>66675</xdr:rowOff>
    </xdr:to>
    <xdr:sp>
      <xdr:nvSpPr>
        <xdr:cNvPr id="1152" name="Host Control  128"/>
        <xdr:cNvSpPr/>
      </xdr:nvSpPr>
      <xdr:spPr>
        <a:xfrm>
          <a:off x="0" y="2211705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238125</xdr:colOff>
      <xdr:row>132</xdr:row>
      <xdr:rowOff>95250</xdr:rowOff>
    </xdr:to>
    <xdr:sp>
      <xdr:nvSpPr>
        <xdr:cNvPr id="1153" name="Host Control  129"/>
        <xdr:cNvSpPr/>
      </xdr:nvSpPr>
      <xdr:spPr>
        <a:xfrm>
          <a:off x="0" y="222885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238125</xdr:colOff>
      <xdr:row>133</xdr:row>
      <xdr:rowOff>95250</xdr:rowOff>
    </xdr:to>
    <xdr:sp>
      <xdr:nvSpPr>
        <xdr:cNvPr id="1154" name="Host Control  130"/>
        <xdr:cNvSpPr/>
      </xdr:nvSpPr>
      <xdr:spPr>
        <a:xfrm>
          <a:off x="0" y="224599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238125</xdr:colOff>
      <xdr:row>134</xdr:row>
      <xdr:rowOff>95250</xdr:rowOff>
    </xdr:to>
    <xdr:sp>
      <xdr:nvSpPr>
        <xdr:cNvPr id="1155" name="Host Control  131"/>
        <xdr:cNvSpPr/>
      </xdr:nvSpPr>
      <xdr:spPr>
        <a:xfrm>
          <a:off x="0" y="226314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238125</xdr:colOff>
      <xdr:row>135</xdr:row>
      <xdr:rowOff>95250</xdr:rowOff>
    </xdr:to>
    <xdr:sp>
      <xdr:nvSpPr>
        <xdr:cNvPr id="1156" name="Host Control  132"/>
        <xdr:cNvSpPr/>
      </xdr:nvSpPr>
      <xdr:spPr>
        <a:xfrm>
          <a:off x="0" y="228028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238125</xdr:colOff>
      <xdr:row>136</xdr:row>
      <xdr:rowOff>95250</xdr:rowOff>
    </xdr:to>
    <xdr:sp>
      <xdr:nvSpPr>
        <xdr:cNvPr id="1157" name="Host Control  133"/>
        <xdr:cNvSpPr/>
      </xdr:nvSpPr>
      <xdr:spPr>
        <a:xfrm>
          <a:off x="0" y="229743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238125</xdr:colOff>
      <xdr:row>137</xdr:row>
      <xdr:rowOff>95250</xdr:rowOff>
    </xdr:to>
    <xdr:sp>
      <xdr:nvSpPr>
        <xdr:cNvPr id="1158" name="Host Control  134"/>
        <xdr:cNvSpPr/>
      </xdr:nvSpPr>
      <xdr:spPr>
        <a:xfrm>
          <a:off x="0" y="231457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238125</xdr:colOff>
      <xdr:row>137</xdr:row>
      <xdr:rowOff>123825</xdr:rowOff>
    </xdr:to>
    <xdr:sp>
      <xdr:nvSpPr>
        <xdr:cNvPr id="1159" name="Host Control  135"/>
        <xdr:cNvSpPr/>
      </xdr:nvSpPr>
      <xdr:spPr>
        <a:xfrm>
          <a:off x="0" y="23317200"/>
          <a:ext cx="685800" cy="2952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238125</xdr:colOff>
      <xdr:row>140</xdr:row>
      <xdr:rowOff>66675</xdr:rowOff>
    </xdr:to>
    <xdr:sp>
      <xdr:nvSpPr>
        <xdr:cNvPr id="1160" name="Host Control  136"/>
        <xdr:cNvSpPr/>
      </xdr:nvSpPr>
      <xdr:spPr>
        <a:xfrm>
          <a:off x="0" y="2348865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238125</xdr:colOff>
      <xdr:row>140</xdr:row>
      <xdr:rowOff>95250</xdr:rowOff>
    </xdr:to>
    <xdr:sp>
      <xdr:nvSpPr>
        <xdr:cNvPr id="1161" name="Host Control  137"/>
        <xdr:cNvSpPr/>
      </xdr:nvSpPr>
      <xdr:spPr>
        <a:xfrm>
          <a:off x="0" y="236601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238125</xdr:colOff>
      <xdr:row>141</xdr:row>
      <xdr:rowOff>95250</xdr:rowOff>
    </xdr:to>
    <xdr:sp>
      <xdr:nvSpPr>
        <xdr:cNvPr id="1162" name="Host Control  138"/>
        <xdr:cNvSpPr/>
      </xdr:nvSpPr>
      <xdr:spPr>
        <a:xfrm>
          <a:off x="0" y="238315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238125</xdr:colOff>
      <xdr:row>142</xdr:row>
      <xdr:rowOff>95250</xdr:rowOff>
    </xdr:to>
    <xdr:sp>
      <xdr:nvSpPr>
        <xdr:cNvPr id="1163" name="Host Control  139"/>
        <xdr:cNvSpPr/>
      </xdr:nvSpPr>
      <xdr:spPr>
        <a:xfrm>
          <a:off x="0" y="240030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238125</xdr:colOff>
      <xdr:row>143</xdr:row>
      <xdr:rowOff>95250</xdr:rowOff>
    </xdr:to>
    <xdr:sp>
      <xdr:nvSpPr>
        <xdr:cNvPr id="1164" name="Host Control  140"/>
        <xdr:cNvSpPr/>
      </xdr:nvSpPr>
      <xdr:spPr>
        <a:xfrm>
          <a:off x="0" y="241744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238125</xdr:colOff>
      <xdr:row>144</xdr:row>
      <xdr:rowOff>95250</xdr:rowOff>
    </xdr:to>
    <xdr:sp>
      <xdr:nvSpPr>
        <xdr:cNvPr id="1165" name="Host Control  141"/>
        <xdr:cNvSpPr/>
      </xdr:nvSpPr>
      <xdr:spPr>
        <a:xfrm>
          <a:off x="0" y="243459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238125</xdr:colOff>
      <xdr:row>145</xdr:row>
      <xdr:rowOff>95250</xdr:rowOff>
    </xdr:to>
    <xdr:sp>
      <xdr:nvSpPr>
        <xdr:cNvPr id="1166" name="Host Control  142"/>
        <xdr:cNvSpPr/>
      </xdr:nvSpPr>
      <xdr:spPr>
        <a:xfrm>
          <a:off x="0" y="245173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238125</xdr:colOff>
      <xdr:row>146</xdr:row>
      <xdr:rowOff>95250</xdr:rowOff>
    </xdr:to>
    <xdr:sp>
      <xdr:nvSpPr>
        <xdr:cNvPr id="1167" name="Host Control  143"/>
        <xdr:cNvSpPr/>
      </xdr:nvSpPr>
      <xdr:spPr>
        <a:xfrm>
          <a:off x="0" y="246888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238125</xdr:colOff>
      <xdr:row>147</xdr:row>
      <xdr:rowOff>95250</xdr:rowOff>
    </xdr:to>
    <xdr:sp>
      <xdr:nvSpPr>
        <xdr:cNvPr id="1168" name="Host Control  144"/>
        <xdr:cNvSpPr/>
      </xdr:nvSpPr>
      <xdr:spPr>
        <a:xfrm>
          <a:off x="0" y="248602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238125</xdr:colOff>
      <xdr:row>148</xdr:row>
      <xdr:rowOff>95250</xdr:rowOff>
    </xdr:to>
    <xdr:sp>
      <xdr:nvSpPr>
        <xdr:cNvPr id="1169" name="Host Control  145"/>
        <xdr:cNvSpPr/>
      </xdr:nvSpPr>
      <xdr:spPr>
        <a:xfrm>
          <a:off x="0" y="250317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238125</xdr:colOff>
      <xdr:row>149</xdr:row>
      <xdr:rowOff>95250</xdr:rowOff>
    </xdr:to>
    <xdr:sp>
      <xdr:nvSpPr>
        <xdr:cNvPr id="1170" name="Host Control  146"/>
        <xdr:cNvSpPr/>
      </xdr:nvSpPr>
      <xdr:spPr>
        <a:xfrm>
          <a:off x="0" y="252031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238125</xdr:colOff>
      <xdr:row>150</xdr:row>
      <xdr:rowOff>95250</xdr:rowOff>
    </xdr:to>
    <xdr:sp>
      <xdr:nvSpPr>
        <xdr:cNvPr id="1171" name="Host Control  147"/>
        <xdr:cNvSpPr/>
      </xdr:nvSpPr>
      <xdr:spPr>
        <a:xfrm>
          <a:off x="0" y="253746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238125</xdr:colOff>
      <xdr:row>151</xdr:row>
      <xdr:rowOff>95250</xdr:rowOff>
    </xdr:to>
    <xdr:sp>
      <xdr:nvSpPr>
        <xdr:cNvPr id="1172" name="Host Control  148"/>
        <xdr:cNvSpPr/>
      </xdr:nvSpPr>
      <xdr:spPr>
        <a:xfrm>
          <a:off x="0" y="255460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238125</xdr:colOff>
      <xdr:row>152</xdr:row>
      <xdr:rowOff>95250</xdr:rowOff>
    </xdr:to>
    <xdr:sp>
      <xdr:nvSpPr>
        <xdr:cNvPr id="1173" name="Host Control  149"/>
        <xdr:cNvSpPr/>
      </xdr:nvSpPr>
      <xdr:spPr>
        <a:xfrm>
          <a:off x="0" y="257175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238125</xdr:colOff>
      <xdr:row>154</xdr:row>
      <xdr:rowOff>66675</xdr:rowOff>
    </xdr:to>
    <xdr:sp>
      <xdr:nvSpPr>
        <xdr:cNvPr id="1174" name="Host Control  150"/>
        <xdr:cNvSpPr/>
      </xdr:nvSpPr>
      <xdr:spPr>
        <a:xfrm>
          <a:off x="0" y="2588895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238125</xdr:colOff>
      <xdr:row>154</xdr:row>
      <xdr:rowOff>95250</xdr:rowOff>
    </xdr:to>
    <xdr:sp>
      <xdr:nvSpPr>
        <xdr:cNvPr id="1175" name="Host Control  151"/>
        <xdr:cNvSpPr/>
      </xdr:nvSpPr>
      <xdr:spPr>
        <a:xfrm>
          <a:off x="0" y="260604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238125</xdr:colOff>
      <xdr:row>155</xdr:row>
      <xdr:rowOff>95250</xdr:rowOff>
    </xdr:to>
    <xdr:sp>
      <xdr:nvSpPr>
        <xdr:cNvPr id="1176" name="Host Control  152"/>
        <xdr:cNvSpPr/>
      </xdr:nvSpPr>
      <xdr:spPr>
        <a:xfrm>
          <a:off x="0" y="262318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238125</xdr:colOff>
      <xdr:row>156</xdr:row>
      <xdr:rowOff>95250</xdr:rowOff>
    </xdr:to>
    <xdr:sp>
      <xdr:nvSpPr>
        <xdr:cNvPr id="1177" name="Host Control  153"/>
        <xdr:cNvSpPr/>
      </xdr:nvSpPr>
      <xdr:spPr>
        <a:xfrm>
          <a:off x="0" y="264033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238125</xdr:colOff>
      <xdr:row>157</xdr:row>
      <xdr:rowOff>95250</xdr:rowOff>
    </xdr:to>
    <xdr:sp>
      <xdr:nvSpPr>
        <xdr:cNvPr id="1178" name="Host Control  154"/>
        <xdr:cNvSpPr/>
      </xdr:nvSpPr>
      <xdr:spPr>
        <a:xfrm>
          <a:off x="0" y="265747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238125</xdr:colOff>
      <xdr:row>158</xdr:row>
      <xdr:rowOff>95250</xdr:rowOff>
    </xdr:to>
    <xdr:sp>
      <xdr:nvSpPr>
        <xdr:cNvPr id="1179" name="Host Control  155"/>
        <xdr:cNvSpPr/>
      </xdr:nvSpPr>
      <xdr:spPr>
        <a:xfrm>
          <a:off x="0" y="267462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238125</xdr:colOff>
      <xdr:row>159</xdr:row>
      <xdr:rowOff>95250</xdr:rowOff>
    </xdr:to>
    <xdr:sp>
      <xdr:nvSpPr>
        <xdr:cNvPr id="1180" name="Host Control  156"/>
        <xdr:cNvSpPr/>
      </xdr:nvSpPr>
      <xdr:spPr>
        <a:xfrm>
          <a:off x="0" y="269176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238125</xdr:colOff>
      <xdr:row>160</xdr:row>
      <xdr:rowOff>95250</xdr:rowOff>
    </xdr:to>
    <xdr:sp>
      <xdr:nvSpPr>
        <xdr:cNvPr id="1181" name="Host Control  157"/>
        <xdr:cNvSpPr/>
      </xdr:nvSpPr>
      <xdr:spPr>
        <a:xfrm>
          <a:off x="0" y="270891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238125</xdr:colOff>
      <xdr:row>161</xdr:row>
      <xdr:rowOff>95250</xdr:rowOff>
    </xdr:to>
    <xdr:sp>
      <xdr:nvSpPr>
        <xdr:cNvPr id="1182" name="Host Control  158"/>
        <xdr:cNvSpPr/>
      </xdr:nvSpPr>
      <xdr:spPr>
        <a:xfrm>
          <a:off x="0" y="272605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238125</xdr:colOff>
      <xdr:row>162</xdr:row>
      <xdr:rowOff>95250</xdr:rowOff>
    </xdr:to>
    <xdr:sp>
      <xdr:nvSpPr>
        <xdr:cNvPr id="1183" name="Host Control  159"/>
        <xdr:cNvSpPr/>
      </xdr:nvSpPr>
      <xdr:spPr>
        <a:xfrm>
          <a:off x="0" y="274320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238125</xdr:colOff>
      <xdr:row>163</xdr:row>
      <xdr:rowOff>95250</xdr:rowOff>
    </xdr:to>
    <xdr:sp>
      <xdr:nvSpPr>
        <xdr:cNvPr id="1184" name="Host Control  160"/>
        <xdr:cNvSpPr/>
      </xdr:nvSpPr>
      <xdr:spPr>
        <a:xfrm>
          <a:off x="0" y="276034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238125</xdr:colOff>
      <xdr:row>164</xdr:row>
      <xdr:rowOff>95250</xdr:rowOff>
    </xdr:to>
    <xdr:sp>
      <xdr:nvSpPr>
        <xdr:cNvPr id="1185" name="Host Control  161"/>
        <xdr:cNvSpPr/>
      </xdr:nvSpPr>
      <xdr:spPr>
        <a:xfrm>
          <a:off x="0" y="277749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238125</xdr:colOff>
      <xdr:row>165</xdr:row>
      <xdr:rowOff>95250</xdr:rowOff>
    </xdr:to>
    <xdr:sp>
      <xdr:nvSpPr>
        <xdr:cNvPr id="1186" name="Host Control  162"/>
        <xdr:cNvSpPr/>
      </xdr:nvSpPr>
      <xdr:spPr>
        <a:xfrm>
          <a:off x="0" y="279463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238125</xdr:colOff>
      <xdr:row>166</xdr:row>
      <xdr:rowOff>95250</xdr:rowOff>
    </xdr:to>
    <xdr:sp>
      <xdr:nvSpPr>
        <xdr:cNvPr id="1187" name="Host Control  163"/>
        <xdr:cNvSpPr/>
      </xdr:nvSpPr>
      <xdr:spPr>
        <a:xfrm>
          <a:off x="0" y="281178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238125</xdr:colOff>
      <xdr:row>167</xdr:row>
      <xdr:rowOff>95250</xdr:rowOff>
    </xdr:to>
    <xdr:sp>
      <xdr:nvSpPr>
        <xdr:cNvPr id="1188" name="Host Control  164"/>
        <xdr:cNvSpPr/>
      </xdr:nvSpPr>
      <xdr:spPr>
        <a:xfrm>
          <a:off x="0" y="282892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238125</xdr:colOff>
      <xdr:row>168</xdr:row>
      <xdr:rowOff>95250</xdr:rowOff>
    </xdr:to>
    <xdr:sp>
      <xdr:nvSpPr>
        <xdr:cNvPr id="1189" name="Host Control  165"/>
        <xdr:cNvSpPr/>
      </xdr:nvSpPr>
      <xdr:spPr>
        <a:xfrm>
          <a:off x="0" y="284607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238125</xdr:colOff>
      <xdr:row>169</xdr:row>
      <xdr:rowOff>95250</xdr:rowOff>
    </xdr:to>
    <xdr:sp>
      <xdr:nvSpPr>
        <xdr:cNvPr id="1190" name="Host Control  166"/>
        <xdr:cNvSpPr/>
      </xdr:nvSpPr>
      <xdr:spPr>
        <a:xfrm>
          <a:off x="0" y="286321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238125</xdr:colOff>
      <xdr:row>170</xdr:row>
      <xdr:rowOff>95250</xdr:rowOff>
    </xdr:to>
    <xdr:sp>
      <xdr:nvSpPr>
        <xdr:cNvPr id="1191" name="Host Control  167"/>
        <xdr:cNvSpPr/>
      </xdr:nvSpPr>
      <xdr:spPr>
        <a:xfrm>
          <a:off x="0" y="288036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238125</xdr:colOff>
      <xdr:row>172</xdr:row>
      <xdr:rowOff>66675</xdr:rowOff>
    </xdr:to>
    <xdr:sp>
      <xdr:nvSpPr>
        <xdr:cNvPr id="1192" name="Host Control  168"/>
        <xdr:cNvSpPr/>
      </xdr:nvSpPr>
      <xdr:spPr>
        <a:xfrm>
          <a:off x="0" y="2897505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238125</xdr:colOff>
      <xdr:row>172</xdr:row>
      <xdr:rowOff>95250</xdr:rowOff>
    </xdr:to>
    <xdr:sp>
      <xdr:nvSpPr>
        <xdr:cNvPr id="1193" name="Host Control  169"/>
        <xdr:cNvSpPr/>
      </xdr:nvSpPr>
      <xdr:spPr>
        <a:xfrm>
          <a:off x="0" y="291465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238125</xdr:colOff>
      <xdr:row>173</xdr:row>
      <xdr:rowOff>95250</xdr:rowOff>
    </xdr:to>
    <xdr:sp>
      <xdr:nvSpPr>
        <xdr:cNvPr id="1194" name="Host Control  170"/>
        <xdr:cNvSpPr/>
      </xdr:nvSpPr>
      <xdr:spPr>
        <a:xfrm>
          <a:off x="0" y="293179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238125</xdr:colOff>
      <xdr:row>174</xdr:row>
      <xdr:rowOff>95250</xdr:rowOff>
    </xdr:to>
    <xdr:sp>
      <xdr:nvSpPr>
        <xdr:cNvPr id="1195" name="Host Control  171"/>
        <xdr:cNvSpPr/>
      </xdr:nvSpPr>
      <xdr:spPr>
        <a:xfrm>
          <a:off x="0" y="294894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238125</xdr:colOff>
      <xdr:row>175</xdr:row>
      <xdr:rowOff>95250</xdr:rowOff>
    </xdr:to>
    <xdr:sp>
      <xdr:nvSpPr>
        <xdr:cNvPr id="1196" name="Host Control  172"/>
        <xdr:cNvSpPr/>
      </xdr:nvSpPr>
      <xdr:spPr>
        <a:xfrm>
          <a:off x="0" y="296608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238125</xdr:colOff>
      <xdr:row>176</xdr:row>
      <xdr:rowOff>95250</xdr:rowOff>
    </xdr:to>
    <xdr:sp>
      <xdr:nvSpPr>
        <xdr:cNvPr id="1197" name="Host Control  173"/>
        <xdr:cNvSpPr/>
      </xdr:nvSpPr>
      <xdr:spPr>
        <a:xfrm>
          <a:off x="0" y="298323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238125</xdr:colOff>
      <xdr:row>177</xdr:row>
      <xdr:rowOff>95250</xdr:rowOff>
    </xdr:to>
    <xdr:sp>
      <xdr:nvSpPr>
        <xdr:cNvPr id="1198" name="Host Control  174"/>
        <xdr:cNvSpPr/>
      </xdr:nvSpPr>
      <xdr:spPr>
        <a:xfrm>
          <a:off x="0" y="300037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238125</xdr:colOff>
      <xdr:row>178</xdr:row>
      <xdr:rowOff>95250</xdr:rowOff>
    </xdr:to>
    <xdr:sp>
      <xdr:nvSpPr>
        <xdr:cNvPr id="1199" name="Host Control  175"/>
        <xdr:cNvSpPr/>
      </xdr:nvSpPr>
      <xdr:spPr>
        <a:xfrm>
          <a:off x="0" y="301752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238125</xdr:colOff>
      <xdr:row>179</xdr:row>
      <xdr:rowOff>95250</xdr:rowOff>
    </xdr:to>
    <xdr:sp>
      <xdr:nvSpPr>
        <xdr:cNvPr id="1200" name="Host Control  176"/>
        <xdr:cNvSpPr/>
      </xdr:nvSpPr>
      <xdr:spPr>
        <a:xfrm>
          <a:off x="0" y="303466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238125</xdr:colOff>
      <xdr:row>180</xdr:row>
      <xdr:rowOff>95250</xdr:rowOff>
    </xdr:to>
    <xdr:sp>
      <xdr:nvSpPr>
        <xdr:cNvPr id="1201" name="Host Control  177"/>
        <xdr:cNvSpPr/>
      </xdr:nvSpPr>
      <xdr:spPr>
        <a:xfrm>
          <a:off x="0" y="305181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238125</xdr:colOff>
      <xdr:row>181</xdr:row>
      <xdr:rowOff>95250</xdr:rowOff>
    </xdr:to>
    <xdr:sp>
      <xdr:nvSpPr>
        <xdr:cNvPr id="1202" name="Host Control  178"/>
        <xdr:cNvSpPr/>
      </xdr:nvSpPr>
      <xdr:spPr>
        <a:xfrm>
          <a:off x="0" y="306895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238125</xdr:colOff>
      <xdr:row>182</xdr:row>
      <xdr:rowOff>95250</xdr:rowOff>
    </xdr:to>
    <xdr:sp>
      <xdr:nvSpPr>
        <xdr:cNvPr id="1203" name="Host Control  179"/>
        <xdr:cNvSpPr/>
      </xdr:nvSpPr>
      <xdr:spPr>
        <a:xfrm>
          <a:off x="0" y="308610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238125</xdr:colOff>
      <xdr:row>183</xdr:row>
      <xdr:rowOff>95250</xdr:rowOff>
    </xdr:to>
    <xdr:sp>
      <xdr:nvSpPr>
        <xdr:cNvPr id="1204" name="Host Control  180"/>
        <xdr:cNvSpPr/>
      </xdr:nvSpPr>
      <xdr:spPr>
        <a:xfrm>
          <a:off x="0" y="310324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238125</xdr:colOff>
      <xdr:row>184</xdr:row>
      <xdr:rowOff>95250</xdr:rowOff>
    </xdr:to>
    <xdr:sp>
      <xdr:nvSpPr>
        <xdr:cNvPr id="1205" name="Host Control  181"/>
        <xdr:cNvSpPr/>
      </xdr:nvSpPr>
      <xdr:spPr>
        <a:xfrm>
          <a:off x="0" y="312039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238125</xdr:colOff>
      <xdr:row>185</xdr:row>
      <xdr:rowOff>95250</xdr:rowOff>
    </xdr:to>
    <xdr:sp>
      <xdr:nvSpPr>
        <xdr:cNvPr id="1206" name="Host Control  182"/>
        <xdr:cNvSpPr/>
      </xdr:nvSpPr>
      <xdr:spPr>
        <a:xfrm>
          <a:off x="0" y="313753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238125</xdr:colOff>
      <xdr:row>187</xdr:row>
      <xdr:rowOff>66675</xdr:rowOff>
    </xdr:to>
    <xdr:sp>
      <xdr:nvSpPr>
        <xdr:cNvPr id="1207" name="Host Control  183"/>
        <xdr:cNvSpPr/>
      </xdr:nvSpPr>
      <xdr:spPr>
        <a:xfrm>
          <a:off x="0" y="3154680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238125</xdr:colOff>
      <xdr:row>187</xdr:row>
      <xdr:rowOff>95250</xdr:rowOff>
    </xdr:to>
    <xdr:sp>
      <xdr:nvSpPr>
        <xdr:cNvPr id="1208" name="Host Control  184"/>
        <xdr:cNvSpPr/>
      </xdr:nvSpPr>
      <xdr:spPr>
        <a:xfrm>
          <a:off x="0" y="317182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238125</xdr:colOff>
      <xdr:row>189</xdr:row>
      <xdr:rowOff>66675</xdr:rowOff>
    </xdr:to>
    <xdr:sp>
      <xdr:nvSpPr>
        <xdr:cNvPr id="1209" name="Host Control  185"/>
        <xdr:cNvSpPr/>
      </xdr:nvSpPr>
      <xdr:spPr>
        <a:xfrm>
          <a:off x="0" y="3188970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238125</xdr:colOff>
      <xdr:row>189</xdr:row>
      <xdr:rowOff>95250</xdr:rowOff>
    </xdr:to>
    <xdr:sp>
      <xdr:nvSpPr>
        <xdr:cNvPr id="1210" name="Host Control  186"/>
        <xdr:cNvSpPr/>
      </xdr:nvSpPr>
      <xdr:spPr>
        <a:xfrm>
          <a:off x="0" y="320611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238125</xdr:colOff>
      <xdr:row>190</xdr:row>
      <xdr:rowOff>95250</xdr:rowOff>
    </xdr:to>
    <xdr:sp>
      <xdr:nvSpPr>
        <xdr:cNvPr id="1211" name="Host Control  187"/>
        <xdr:cNvSpPr/>
      </xdr:nvSpPr>
      <xdr:spPr>
        <a:xfrm>
          <a:off x="0" y="322326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1</xdr:col>
      <xdr:colOff>238125</xdr:colOff>
      <xdr:row>192</xdr:row>
      <xdr:rowOff>66675</xdr:rowOff>
    </xdr:to>
    <xdr:sp>
      <xdr:nvSpPr>
        <xdr:cNvPr id="1212" name="Host Control  188"/>
        <xdr:cNvSpPr/>
      </xdr:nvSpPr>
      <xdr:spPr>
        <a:xfrm>
          <a:off x="0" y="3240405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238125</xdr:colOff>
      <xdr:row>192</xdr:row>
      <xdr:rowOff>95250</xdr:rowOff>
    </xdr:to>
    <xdr:sp>
      <xdr:nvSpPr>
        <xdr:cNvPr id="1213" name="Host Control  189"/>
        <xdr:cNvSpPr/>
      </xdr:nvSpPr>
      <xdr:spPr>
        <a:xfrm>
          <a:off x="0" y="325755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238125</xdr:colOff>
      <xdr:row>194</xdr:row>
      <xdr:rowOff>66675</xdr:rowOff>
    </xdr:to>
    <xdr:sp>
      <xdr:nvSpPr>
        <xdr:cNvPr id="1214" name="Host Control  190"/>
        <xdr:cNvSpPr/>
      </xdr:nvSpPr>
      <xdr:spPr>
        <a:xfrm>
          <a:off x="0" y="3274695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238125</xdr:colOff>
      <xdr:row>194</xdr:row>
      <xdr:rowOff>95250</xdr:rowOff>
    </xdr:to>
    <xdr:sp>
      <xdr:nvSpPr>
        <xdr:cNvPr id="1215" name="Host Control  191"/>
        <xdr:cNvSpPr/>
      </xdr:nvSpPr>
      <xdr:spPr>
        <a:xfrm>
          <a:off x="0" y="329184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193</xdr:row>
      <xdr:rowOff>0</xdr:rowOff>
    </xdr:from>
    <xdr:to>
      <xdr:col>1</xdr:col>
      <xdr:colOff>238125</xdr:colOff>
      <xdr:row>195</xdr:row>
      <xdr:rowOff>95250</xdr:rowOff>
    </xdr:to>
    <xdr:sp>
      <xdr:nvSpPr>
        <xdr:cNvPr id="1216" name="Host Control  192"/>
        <xdr:cNvSpPr/>
      </xdr:nvSpPr>
      <xdr:spPr>
        <a:xfrm>
          <a:off x="0" y="330898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194</xdr:row>
      <xdr:rowOff>0</xdr:rowOff>
    </xdr:from>
    <xdr:to>
      <xdr:col>1</xdr:col>
      <xdr:colOff>238125</xdr:colOff>
      <xdr:row>196</xdr:row>
      <xdr:rowOff>95250</xdr:rowOff>
    </xdr:to>
    <xdr:sp>
      <xdr:nvSpPr>
        <xdr:cNvPr id="1217" name="Host Control  193"/>
        <xdr:cNvSpPr/>
      </xdr:nvSpPr>
      <xdr:spPr>
        <a:xfrm>
          <a:off x="0" y="332613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1</xdr:col>
      <xdr:colOff>238125</xdr:colOff>
      <xdr:row>197</xdr:row>
      <xdr:rowOff>95250</xdr:rowOff>
    </xdr:to>
    <xdr:sp>
      <xdr:nvSpPr>
        <xdr:cNvPr id="1218" name="Host Control  194"/>
        <xdr:cNvSpPr/>
      </xdr:nvSpPr>
      <xdr:spPr>
        <a:xfrm>
          <a:off x="0" y="334327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1</xdr:col>
      <xdr:colOff>238125</xdr:colOff>
      <xdr:row>198</xdr:row>
      <xdr:rowOff>95250</xdr:rowOff>
    </xdr:to>
    <xdr:sp>
      <xdr:nvSpPr>
        <xdr:cNvPr id="1219" name="Host Control  195"/>
        <xdr:cNvSpPr/>
      </xdr:nvSpPr>
      <xdr:spPr>
        <a:xfrm>
          <a:off x="0" y="336042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197</xdr:row>
      <xdr:rowOff>0</xdr:rowOff>
    </xdr:from>
    <xdr:to>
      <xdr:col>1</xdr:col>
      <xdr:colOff>238125</xdr:colOff>
      <xdr:row>199</xdr:row>
      <xdr:rowOff>95250</xdr:rowOff>
    </xdr:to>
    <xdr:sp>
      <xdr:nvSpPr>
        <xdr:cNvPr id="1220" name="Host Control  196"/>
        <xdr:cNvSpPr/>
      </xdr:nvSpPr>
      <xdr:spPr>
        <a:xfrm>
          <a:off x="0" y="337756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198</xdr:row>
      <xdr:rowOff>0</xdr:rowOff>
    </xdr:from>
    <xdr:to>
      <xdr:col>1</xdr:col>
      <xdr:colOff>238125</xdr:colOff>
      <xdr:row>201</xdr:row>
      <xdr:rowOff>66675</xdr:rowOff>
    </xdr:to>
    <xdr:sp>
      <xdr:nvSpPr>
        <xdr:cNvPr id="1221" name="Host Control  197"/>
        <xdr:cNvSpPr/>
      </xdr:nvSpPr>
      <xdr:spPr>
        <a:xfrm>
          <a:off x="0" y="3394710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199</xdr:row>
      <xdr:rowOff>0</xdr:rowOff>
    </xdr:from>
    <xdr:to>
      <xdr:col>1</xdr:col>
      <xdr:colOff>238125</xdr:colOff>
      <xdr:row>201</xdr:row>
      <xdr:rowOff>95250</xdr:rowOff>
    </xdr:to>
    <xdr:sp>
      <xdr:nvSpPr>
        <xdr:cNvPr id="1222" name="Host Control  198"/>
        <xdr:cNvSpPr/>
      </xdr:nvSpPr>
      <xdr:spPr>
        <a:xfrm>
          <a:off x="0" y="341185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1</xdr:col>
      <xdr:colOff>238125</xdr:colOff>
      <xdr:row>202</xdr:row>
      <xdr:rowOff>95250</xdr:rowOff>
    </xdr:to>
    <xdr:sp>
      <xdr:nvSpPr>
        <xdr:cNvPr id="1223" name="Host Control  199"/>
        <xdr:cNvSpPr/>
      </xdr:nvSpPr>
      <xdr:spPr>
        <a:xfrm>
          <a:off x="0" y="342900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201</xdr:row>
      <xdr:rowOff>0</xdr:rowOff>
    </xdr:from>
    <xdr:to>
      <xdr:col>1</xdr:col>
      <xdr:colOff>238125</xdr:colOff>
      <xdr:row>203</xdr:row>
      <xdr:rowOff>95250</xdr:rowOff>
    </xdr:to>
    <xdr:sp>
      <xdr:nvSpPr>
        <xdr:cNvPr id="1224" name="Host Control  200"/>
        <xdr:cNvSpPr/>
      </xdr:nvSpPr>
      <xdr:spPr>
        <a:xfrm>
          <a:off x="0" y="344614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202</xdr:row>
      <xdr:rowOff>0</xdr:rowOff>
    </xdr:from>
    <xdr:to>
      <xdr:col>1</xdr:col>
      <xdr:colOff>238125</xdr:colOff>
      <xdr:row>205</xdr:row>
      <xdr:rowOff>66675</xdr:rowOff>
    </xdr:to>
    <xdr:sp>
      <xdr:nvSpPr>
        <xdr:cNvPr id="1225" name="Host Control  201"/>
        <xdr:cNvSpPr/>
      </xdr:nvSpPr>
      <xdr:spPr>
        <a:xfrm>
          <a:off x="0" y="3463290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1</xdr:col>
      <xdr:colOff>238125</xdr:colOff>
      <xdr:row>205</xdr:row>
      <xdr:rowOff>95250</xdr:rowOff>
    </xdr:to>
    <xdr:sp>
      <xdr:nvSpPr>
        <xdr:cNvPr id="1226" name="Host Control  202"/>
        <xdr:cNvSpPr/>
      </xdr:nvSpPr>
      <xdr:spPr>
        <a:xfrm>
          <a:off x="0" y="348043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204</xdr:row>
      <xdr:rowOff>0</xdr:rowOff>
    </xdr:from>
    <xdr:to>
      <xdr:col>1</xdr:col>
      <xdr:colOff>238125</xdr:colOff>
      <xdr:row>206</xdr:row>
      <xdr:rowOff>95250</xdr:rowOff>
    </xdr:to>
    <xdr:sp>
      <xdr:nvSpPr>
        <xdr:cNvPr id="1227" name="Host Control  203"/>
        <xdr:cNvSpPr/>
      </xdr:nvSpPr>
      <xdr:spPr>
        <a:xfrm>
          <a:off x="0" y="349758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1</xdr:col>
      <xdr:colOff>238125</xdr:colOff>
      <xdr:row>207</xdr:row>
      <xdr:rowOff>95250</xdr:rowOff>
    </xdr:to>
    <xdr:sp>
      <xdr:nvSpPr>
        <xdr:cNvPr id="1228" name="Host Control  204"/>
        <xdr:cNvSpPr/>
      </xdr:nvSpPr>
      <xdr:spPr>
        <a:xfrm>
          <a:off x="0" y="351472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206</xdr:row>
      <xdr:rowOff>0</xdr:rowOff>
    </xdr:from>
    <xdr:to>
      <xdr:col>1</xdr:col>
      <xdr:colOff>238125</xdr:colOff>
      <xdr:row>209</xdr:row>
      <xdr:rowOff>66675</xdr:rowOff>
    </xdr:to>
    <xdr:sp>
      <xdr:nvSpPr>
        <xdr:cNvPr id="1229" name="Host Control  205"/>
        <xdr:cNvSpPr/>
      </xdr:nvSpPr>
      <xdr:spPr>
        <a:xfrm>
          <a:off x="0" y="3531870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207</xdr:row>
      <xdr:rowOff>0</xdr:rowOff>
    </xdr:from>
    <xdr:to>
      <xdr:col>1</xdr:col>
      <xdr:colOff>238125</xdr:colOff>
      <xdr:row>209</xdr:row>
      <xdr:rowOff>95250</xdr:rowOff>
    </xdr:to>
    <xdr:sp>
      <xdr:nvSpPr>
        <xdr:cNvPr id="1230" name="Host Control  206"/>
        <xdr:cNvSpPr/>
      </xdr:nvSpPr>
      <xdr:spPr>
        <a:xfrm>
          <a:off x="0" y="354901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208</xdr:row>
      <xdr:rowOff>0</xdr:rowOff>
    </xdr:from>
    <xdr:to>
      <xdr:col>1</xdr:col>
      <xdr:colOff>238125</xdr:colOff>
      <xdr:row>210</xdr:row>
      <xdr:rowOff>95250</xdr:rowOff>
    </xdr:to>
    <xdr:sp>
      <xdr:nvSpPr>
        <xdr:cNvPr id="1231" name="Host Control  207"/>
        <xdr:cNvSpPr/>
      </xdr:nvSpPr>
      <xdr:spPr>
        <a:xfrm>
          <a:off x="0" y="356616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209</xdr:row>
      <xdr:rowOff>0</xdr:rowOff>
    </xdr:from>
    <xdr:to>
      <xdr:col>1</xdr:col>
      <xdr:colOff>238125</xdr:colOff>
      <xdr:row>211</xdr:row>
      <xdr:rowOff>95250</xdr:rowOff>
    </xdr:to>
    <xdr:sp>
      <xdr:nvSpPr>
        <xdr:cNvPr id="1232" name="Host Control  208"/>
        <xdr:cNvSpPr/>
      </xdr:nvSpPr>
      <xdr:spPr>
        <a:xfrm>
          <a:off x="0" y="358330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1</xdr:col>
      <xdr:colOff>238125</xdr:colOff>
      <xdr:row>212</xdr:row>
      <xdr:rowOff>95250</xdr:rowOff>
    </xdr:to>
    <xdr:sp>
      <xdr:nvSpPr>
        <xdr:cNvPr id="1233" name="Host Control  209"/>
        <xdr:cNvSpPr/>
      </xdr:nvSpPr>
      <xdr:spPr>
        <a:xfrm>
          <a:off x="0" y="360045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1</xdr:col>
      <xdr:colOff>238125</xdr:colOff>
      <xdr:row>214</xdr:row>
      <xdr:rowOff>66675</xdr:rowOff>
    </xdr:to>
    <xdr:sp>
      <xdr:nvSpPr>
        <xdr:cNvPr id="1234" name="Host Control  210"/>
        <xdr:cNvSpPr/>
      </xdr:nvSpPr>
      <xdr:spPr>
        <a:xfrm>
          <a:off x="0" y="3617595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212</xdr:row>
      <xdr:rowOff>0</xdr:rowOff>
    </xdr:from>
    <xdr:to>
      <xdr:col>1</xdr:col>
      <xdr:colOff>238125</xdr:colOff>
      <xdr:row>214</xdr:row>
      <xdr:rowOff>95250</xdr:rowOff>
    </xdr:to>
    <xdr:sp>
      <xdr:nvSpPr>
        <xdr:cNvPr id="1235" name="Host Control  211"/>
        <xdr:cNvSpPr/>
      </xdr:nvSpPr>
      <xdr:spPr>
        <a:xfrm>
          <a:off x="0" y="363474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213</xdr:row>
      <xdr:rowOff>0</xdr:rowOff>
    </xdr:from>
    <xdr:to>
      <xdr:col>1</xdr:col>
      <xdr:colOff>238125</xdr:colOff>
      <xdr:row>215</xdr:row>
      <xdr:rowOff>95250</xdr:rowOff>
    </xdr:to>
    <xdr:sp>
      <xdr:nvSpPr>
        <xdr:cNvPr id="1236" name="Host Control  212"/>
        <xdr:cNvSpPr/>
      </xdr:nvSpPr>
      <xdr:spPr>
        <a:xfrm>
          <a:off x="0" y="365188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214</xdr:row>
      <xdr:rowOff>0</xdr:rowOff>
    </xdr:from>
    <xdr:to>
      <xdr:col>1</xdr:col>
      <xdr:colOff>238125</xdr:colOff>
      <xdr:row>217</xdr:row>
      <xdr:rowOff>66675</xdr:rowOff>
    </xdr:to>
    <xdr:sp>
      <xdr:nvSpPr>
        <xdr:cNvPr id="1237" name="Host Control  213"/>
        <xdr:cNvSpPr/>
      </xdr:nvSpPr>
      <xdr:spPr>
        <a:xfrm>
          <a:off x="0" y="3669030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1</xdr:col>
      <xdr:colOff>238125</xdr:colOff>
      <xdr:row>217</xdr:row>
      <xdr:rowOff>95250</xdr:rowOff>
    </xdr:to>
    <xdr:sp>
      <xdr:nvSpPr>
        <xdr:cNvPr id="1238" name="Host Control  214"/>
        <xdr:cNvSpPr/>
      </xdr:nvSpPr>
      <xdr:spPr>
        <a:xfrm>
          <a:off x="0" y="368617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216</xdr:row>
      <xdr:rowOff>0</xdr:rowOff>
    </xdr:from>
    <xdr:to>
      <xdr:col>1</xdr:col>
      <xdr:colOff>238125</xdr:colOff>
      <xdr:row>218</xdr:row>
      <xdr:rowOff>95250</xdr:rowOff>
    </xdr:to>
    <xdr:sp>
      <xdr:nvSpPr>
        <xdr:cNvPr id="1239" name="Host Control  215"/>
        <xdr:cNvSpPr/>
      </xdr:nvSpPr>
      <xdr:spPr>
        <a:xfrm>
          <a:off x="0" y="370332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217</xdr:row>
      <xdr:rowOff>0</xdr:rowOff>
    </xdr:from>
    <xdr:to>
      <xdr:col>1</xdr:col>
      <xdr:colOff>238125</xdr:colOff>
      <xdr:row>219</xdr:row>
      <xdr:rowOff>95250</xdr:rowOff>
    </xdr:to>
    <xdr:sp>
      <xdr:nvSpPr>
        <xdr:cNvPr id="1240" name="Host Control  216"/>
        <xdr:cNvSpPr/>
      </xdr:nvSpPr>
      <xdr:spPr>
        <a:xfrm>
          <a:off x="0" y="372046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218</xdr:row>
      <xdr:rowOff>0</xdr:rowOff>
    </xdr:from>
    <xdr:to>
      <xdr:col>1</xdr:col>
      <xdr:colOff>238125</xdr:colOff>
      <xdr:row>220</xdr:row>
      <xdr:rowOff>95250</xdr:rowOff>
    </xdr:to>
    <xdr:sp>
      <xdr:nvSpPr>
        <xdr:cNvPr id="1241" name="Host Control  217"/>
        <xdr:cNvSpPr/>
      </xdr:nvSpPr>
      <xdr:spPr>
        <a:xfrm>
          <a:off x="0" y="373761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219</xdr:row>
      <xdr:rowOff>0</xdr:rowOff>
    </xdr:from>
    <xdr:to>
      <xdr:col>1</xdr:col>
      <xdr:colOff>238125</xdr:colOff>
      <xdr:row>221</xdr:row>
      <xdr:rowOff>95250</xdr:rowOff>
    </xdr:to>
    <xdr:sp>
      <xdr:nvSpPr>
        <xdr:cNvPr id="1242" name="Host Control  218"/>
        <xdr:cNvSpPr/>
      </xdr:nvSpPr>
      <xdr:spPr>
        <a:xfrm>
          <a:off x="0" y="375475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1</xdr:col>
      <xdr:colOff>238125</xdr:colOff>
      <xdr:row>222</xdr:row>
      <xdr:rowOff>95250</xdr:rowOff>
    </xdr:to>
    <xdr:sp>
      <xdr:nvSpPr>
        <xdr:cNvPr id="1243" name="Host Control  219"/>
        <xdr:cNvSpPr/>
      </xdr:nvSpPr>
      <xdr:spPr>
        <a:xfrm>
          <a:off x="0" y="377190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221</xdr:row>
      <xdr:rowOff>0</xdr:rowOff>
    </xdr:from>
    <xdr:to>
      <xdr:col>1</xdr:col>
      <xdr:colOff>238125</xdr:colOff>
      <xdr:row>223</xdr:row>
      <xdr:rowOff>95250</xdr:rowOff>
    </xdr:to>
    <xdr:sp>
      <xdr:nvSpPr>
        <xdr:cNvPr id="1244" name="Host Control  220"/>
        <xdr:cNvSpPr/>
      </xdr:nvSpPr>
      <xdr:spPr>
        <a:xfrm>
          <a:off x="0" y="378904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222</xdr:row>
      <xdr:rowOff>0</xdr:rowOff>
    </xdr:from>
    <xdr:to>
      <xdr:col>1</xdr:col>
      <xdr:colOff>238125</xdr:colOff>
      <xdr:row>224</xdr:row>
      <xdr:rowOff>95250</xdr:rowOff>
    </xdr:to>
    <xdr:sp>
      <xdr:nvSpPr>
        <xdr:cNvPr id="1245" name="Host Control  221"/>
        <xdr:cNvSpPr/>
      </xdr:nvSpPr>
      <xdr:spPr>
        <a:xfrm>
          <a:off x="0" y="380619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223</xdr:row>
      <xdr:rowOff>0</xdr:rowOff>
    </xdr:from>
    <xdr:to>
      <xdr:col>1</xdr:col>
      <xdr:colOff>238125</xdr:colOff>
      <xdr:row>225</xdr:row>
      <xdr:rowOff>95250</xdr:rowOff>
    </xdr:to>
    <xdr:sp>
      <xdr:nvSpPr>
        <xdr:cNvPr id="1246" name="Host Control  222"/>
        <xdr:cNvSpPr/>
      </xdr:nvSpPr>
      <xdr:spPr>
        <a:xfrm>
          <a:off x="0" y="382333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1</xdr:col>
      <xdr:colOff>238125</xdr:colOff>
      <xdr:row>226</xdr:row>
      <xdr:rowOff>95250</xdr:rowOff>
    </xdr:to>
    <xdr:sp>
      <xdr:nvSpPr>
        <xdr:cNvPr id="1247" name="Host Control  223"/>
        <xdr:cNvSpPr/>
      </xdr:nvSpPr>
      <xdr:spPr>
        <a:xfrm>
          <a:off x="0" y="384048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1</xdr:col>
      <xdr:colOff>238125</xdr:colOff>
      <xdr:row>228</xdr:row>
      <xdr:rowOff>66675</xdr:rowOff>
    </xdr:to>
    <xdr:sp>
      <xdr:nvSpPr>
        <xdr:cNvPr id="1248" name="Host Control  224"/>
        <xdr:cNvSpPr/>
      </xdr:nvSpPr>
      <xdr:spPr>
        <a:xfrm>
          <a:off x="0" y="3857625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226</xdr:row>
      <xdr:rowOff>0</xdr:rowOff>
    </xdr:from>
    <xdr:to>
      <xdr:col>1</xdr:col>
      <xdr:colOff>238125</xdr:colOff>
      <xdr:row>228</xdr:row>
      <xdr:rowOff>95250</xdr:rowOff>
    </xdr:to>
    <xdr:sp>
      <xdr:nvSpPr>
        <xdr:cNvPr id="1249" name="Host Control  225"/>
        <xdr:cNvSpPr/>
      </xdr:nvSpPr>
      <xdr:spPr>
        <a:xfrm>
          <a:off x="0" y="387477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227</xdr:row>
      <xdr:rowOff>0</xdr:rowOff>
    </xdr:from>
    <xdr:to>
      <xdr:col>1</xdr:col>
      <xdr:colOff>238125</xdr:colOff>
      <xdr:row>229</xdr:row>
      <xdr:rowOff>95250</xdr:rowOff>
    </xdr:to>
    <xdr:sp>
      <xdr:nvSpPr>
        <xdr:cNvPr id="1250" name="Host Control  226"/>
        <xdr:cNvSpPr/>
      </xdr:nvSpPr>
      <xdr:spPr>
        <a:xfrm>
          <a:off x="0" y="389191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228</xdr:row>
      <xdr:rowOff>0</xdr:rowOff>
    </xdr:from>
    <xdr:to>
      <xdr:col>1</xdr:col>
      <xdr:colOff>238125</xdr:colOff>
      <xdr:row>230</xdr:row>
      <xdr:rowOff>95250</xdr:rowOff>
    </xdr:to>
    <xdr:sp>
      <xdr:nvSpPr>
        <xdr:cNvPr id="1251" name="Host Control  227"/>
        <xdr:cNvSpPr/>
      </xdr:nvSpPr>
      <xdr:spPr>
        <a:xfrm>
          <a:off x="0" y="390906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229</xdr:row>
      <xdr:rowOff>0</xdr:rowOff>
    </xdr:from>
    <xdr:to>
      <xdr:col>1</xdr:col>
      <xdr:colOff>238125</xdr:colOff>
      <xdr:row>231</xdr:row>
      <xdr:rowOff>95250</xdr:rowOff>
    </xdr:to>
    <xdr:sp>
      <xdr:nvSpPr>
        <xdr:cNvPr id="1252" name="Host Control  228"/>
        <xdr:cNvSpPr/>
      </xdr:nvSpPr>
      <xdr:spPr>
        <a:xfrm>
          <a:off x="0" y="392620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1</xdr:col>
      <xdr:colOff>238125</xdr:colOff>
      <xdr:row>232</xdr:row>
      <xdr:rowOff>95250</xdr:rowOff>
    </xdr:to>
    <xdr:sp>
      <xdr:nvSpPr>
        <xdr:cNvPr id="1253" name="Host Control  229"/>
        <xdr:cNvSpPr/>
      </xdr:nvSpPr>
      <xdr:spPr>
        <a:xfrm>
          <a:off x="0" y="394335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1</xdr:col>
      <xdr:colOff>238125</xdr:colOff>
      <xdr:row>233</xdr:row>
      <xdr:rowOff>95250</xdr:rowOff>
    </xdr:to>
    <xdr:sp>
      <xdr:nvSpPr>
        <xdr:cNvPr id="1254" name="Host Control  230"/>
        <xdr:cNvSpPr/>
      </xdr:nvSpPr>
      <xdr:spPr>
        <a:xfrm>
          <a:off x="0" y="396049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232</xdr:row>
      <xdr:rowOff>0</xdr:rowOff>
    </xdr:from>
    <xdr:to>
      <xdr:col>1</xdr:col>
      <xdr:colOff>238125</xdr:colOff>
      <xdr:row>234</xdr:row>
      <xdr:rowOff>95250</xdr:rowOff>
    </xdr:to>
    <xdr:sp>
      <xdr:nvSpPr>
        <xdr:cNvPr id="1255" name="Host Control  231"/>
        <xdr:cNvSpPr/>
      </xdr:nvSpPr>
      <xdr:spPr>
        <a:xfrm>
          <a:off x="0" y="397764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233</xdr:row>
      <xdr:rowOff>0</xdr:rowOff>
    </xdr:from>
    <xdr:to>
      <xdr:col>1</xdr:col>
      <xdr:colOff>238125</xdr:colOff>
      <xdr:row>235</xdr:row>
      <xdr:rowOff>95250</xdr:rowOff>
    </xdr:to>
    <xdr:sp>
      <xdr:nvSpPr>
        <xdr:cNvPr id="1256" name="Host Control  232"/>
        <xdr:cNvSpPr/>
      </xdr:nvSpPr>
      <xdr:spPr>
        <a:xfrm>
          <a:off x="0" y="399478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234</xdr:row>
      <xdr:rowOff>0</xdr:rowOff>
    </xdr:from>
    <xdr:to>
      <xdr:col>1</xdr:col>
      <xdr:colOff>238125</xdr:colOff>
      <xdr:row>236</xdr:row>
      <xdr:rowOff>95250</xdr:rowOff>
    </xdr:to>
    <xdr:sp>
      <xdr:nvSpPr>
        <xdr:cNvPr id="1257" name="Host Control  233"/>
        <xdr:cNvSpPr/>
      </xdr:nvSpPr>
      <xdr:spPr>
        <a:xfrm>
          <a:off x="0" y="401193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1</xdr:col>
      <xdr:colOff>238125</xdr:colOff>
      <xdr:row>237</xdr:row>
      <xdr:rowOff>95250</xdr:rowOff>
    </xdr:to>
    <xdr:sp>
      <xdr:nvSpPr>
        <xdr:cNvPr id="1258" name="Host Control  234"/>
        <xdr:cNvSpPr/>
      </xdr:nvSpPr>
      <xdr:spPr>
        <a:xfrm>
          <a:off x="0" y="402907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236</xdr:row>
      <xdr:rowOff>0</xdr:rowOff>
    </xdr:from>
    <xdr:to>
      <xdr:col>1</xdr:col>
      <xdr:colOff>238125</xdr:colOff>
      <xdr:row>238</xdr:row>
      <xdr:rowOff>95250</xdr:rowOff>
    </xdr:to>
    <xdr:sp>
      <xdr:nvSpPr>
        <xdr:cNvPr id="1259" name="Host Control  235"/>
        <xdr:cNvSpPr/>
      </xdr:nvSpPr>
      <xdr:spPr>
        <a:xfrm>
          <a:off x="0" y="404622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237</xdr:row>
      <xdr:rowOff>0</xdr:rowOff>
    </xdr:from>
    <xdr:to>
      <xdr:col>1</xdr:col>
      <xdr:colOff>238125</xdr:colOff>
      <xdr:row>239</xdr:row>
      <xdr:rowOff>95250</xdr:rowOff>
    </xdr:to>
    <xdr:sp>
      <xdr:nvSpPr>
        <xdr:cNvPr id="1260" name="Host Control  236"/>
        <xdr:cNvSpPr/>
      </xdr:nvSpPr>
      <xdr:spPr>
        <a:xfrm>
          <a:off x="0" y="406336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238</xdr:row>
      <xdr:rowOff>0</xdr:rowOff>
    </xdr:from>
    <xdr:to>
      <xdr:col>1</xdr:col>
      <xdr:colOff>238125</xdr:colOff>
      <xdr:row>241</xdr:row>
      <xdr:rowOff>66675</xdr:rowOff>
    </xdr:to>
    <xdr:sp>
      <xdr:nvSpPr>
        <xdr:cNvPr id="1261" name="Host Control  237"/>
        <xdr:cNvSpPr/>
      </xdr:nvSpPr>
      <xdr:spPr>
        <a:xfrm>
          <a:off x="0" y="4080510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239</xdr:row>
      <xdr:rowOff>0</xdr:rowOff>
    </xdr:from>
    <xdr:to>
      <xdr:col>1</xdr:col>
      <xdr:colOff>238125</xdr:colOff>
      <xdr:row>241</xdr:row>
      <xdr:rowOff>95250</xdr:rowOff>
    </xdr:to>
    <xdr:sp>
      <xdr:nvSpPr>
        <xdr:cNvPr id="1262" name="Host Control  238"/>
        <xdr:cNvSpPr/>
      </xdr:nvSpPr>
      <xdr:spPr>
        <a:xfrm>
          <a:off x="0" y="409765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1</xdr:col>
      <xdr:colOff>238125</xdr:colOff>
      <xdr:row>243</xdr:row>
      <xdr:rowOff>66675</xdr:rowOff>
    </xdr:to>
    <xdr:sp>
      <xdr:nvSpPr>
        <xdr:cNvPr id="1263" name="Host Control  239"/>
        <xdr:cNvSpPr/>
      </xdr:nvSpPr>
      <xdr:spPr>
        <a:xfrm>
          <a:off x="0" y="4114800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241</xdr:row>
      <xdr:rowOff>0</xdr:rowOff>
    </xdr:from>
    <xdr:to>
      <xdr:col>1</xdr:col>
      <xdr:colOff>238125</xdr:colOff>
      <xdr:row>243</xdr:row>
      <xdr:rowOff>95250</xdr:rowOff>
    </xdr:to>
    <xdr:sp>
      <xdr:nvSpPr>
        <xdr:cNvPr id="1264" name="Host Control  240"/>
        <xdr:cNvSpPr/>
      </xdr:nvSpPr>
      <xdr:spPr>
        <a:xfrm>
          <a:off x="0" y="413194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242</xdr:row>
      <xdr:rowOff>0</xdr:rowOff>
    </xdr:from>
    <xdr:to>
      <xdr:col>1</xdr:col>
      <xdr:colOff>238125</xdr:colOff>
      <xdr:row>245</xdr:row>
      <xdr:rowOff>66675</xdr:rowOff>
    </xdr:to>
    <xdr:sp>
      <xdr:nvSpPr>
        <xdr:cNvPr id="1265" name="Host Control  241"/>
        <xdr:cNvSpPr/>
      </xdr:nvSpPr>
      <xdr:spPr>
        <a:xfrm>
          <a:off x="0" y="4149090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243</xdr:row>
      <xdr:rowOff>0</xdr:rowOff>
    </xdr:from>
    <xdr:to>
      <xdr:col>1</xdr:col>
      <xdr:colOff>238125</xdr:colOff>
      <xdr:row>244</xdr:row>
      <xdr:rowOff>123825</xdr:rowOff>
    </xdr:to>
    <xdr:sp>
      <xdr:nvSpPr>
        <xdr:cNvPr id="1266" name="Host Control  242"/>
        <xdr:cNvSpPr/>
      </xdr:nvSpPr>
      <xdr:spPr>
        <a:xfrm>
          <a:off x="0" y="41662350"/>
          <a:ext cx="685800" cy="2952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244</xdr:row>
      <xdr:rowOff>0</xdr:rowOff>
    </xdr:from>
    <xdr:to>
      <xdr:col>1</xdr:col>
      <xdr:colOff>238125</xdr:colOff>
      <xdr:row>246</xdr:row>
      <xdr:rowOff>95250</xdr:rowOff>
    </xdr:to>
    <xdr:sp>
      <xdr:nvSpPr>
        <xdr:cNvPr id="1267" name="Host Control  243"/>
        <xdr:cNvSpPr/>
      </xdr:nvSpPr>
      <xdr:spPr>
        <a:xfrm>
          <a:off x="0" y="418338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1</xdr:col>
      <xdr:colOff>238125</xdr:colOff>
      <xdr:row>247</xdr:row>
      <xdr:rowOff>95250</xdr:rowOff>
    </xdr:to>
    <xdr:sp>
      <xdr:nvSpPr>
        <xdr:cNvPr id="1268" name="Host Control  244"/>
        <xdr:cNvSpPr/>
      </xdr:nvSpPr>
      <xdr:spPr>
        <a:xfrm>
          <a:off x="0" y="420052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246</xdr:row>
      <xdr:rowOff>0</xdr:rowOff>
    </xdr:from>
    <xdr:to>
      <xdr:col>1</xdr:col>
      <xdr:colOff>238125</xdr:colOff>
      <xdr:row>249</xdr:row>
      <xdr:rowOff>66675</xdr:rowOff>
    </xdr:to>
    <xdr:sp>
      <xdr:nvSpPr>
        <xdr:cNvPr id="1269" name="Host Control  245"/>
        <xdr:cNvSpPr/>
      </xdr:nvSpPr>
      <xdr:spPr>
        <a:xfrm>
          <a:off x="0" y="4217670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247</xdr:row>
      <xdr:rowOff>0</xdr:rowOff>
    </xdr:from>
    <xdr:to>
      <xdr:col>1</xdr:col>
      <xdr:colOff>238125</xdr:colOff>
      <xdr:row>250</xdr:row>
      <xdr:rowOff>66675</xdr:rowOff>
    </xdr:to>
    <xdr:sp>
      <xdr:nvSpPr>
        <xdr:cNvPr id="1270" name="Host Control  246"/>
        <xdr:cNvSpPr/>
      </xdr:nvSpPr>
      <xdr:spPr>
        <a:xfrm>
          <a:off x="0" y="4234815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248</xdr:row>
      <xdr:rowOff>0</xdr:rowOff>
    </xdr:from>
    <xdr:to>
      <xdr:col>1</xdr:col>
      <xdr:colOff>238125</xdr:colOff>
      <xdr:row>250</xdr:row>
      <xdr:rowOff>95250</xdr:rowOff>
    </xdr:to>
    <xdr:sp>
      <xdr:nvSpPr>
        <xdr:cNvPr id="1271" name="Host Control  247"/>
        <xdr:cNvSpPr/>
      </xdr:nvSpPr>
      <xdr:spPr>
        <a:xfrm>
          <a:off x="0" y="425196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249</xdr:row>
      <xdr:rowOff>0</xdr:rowOff>
    </xdr:from>
    <xdr:to>
      <xdr:col>1</xdr:col>
      <xdr:colOff>238125</xdr:colOff>
      <xdr:row>252</xdr:row>
      <xdr:rowOff>66675</xdr:rowOff>
    </xdr:to>
    <xdr:sp>
      <xdr:nvSpPr>
        <xdr:cNvPr id="1272" name="Host Control  248"/>
        <xdr:cNvSpPr/>
      </xdr:nvSpPr>
      <xdr:spPr>
        <a:xfrm>
          <a:off x="0" y="42691050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1</xdr:col>
      <xdr:colOff>238125</xdr:colOff>
      <xdr:row>252</xdr:row>
      <xdr:rowOff>95250</xdr:rowOff>
    </xdr:to>
    <xdr:sp>
      <xdr:nvSpPr>
        <xdr:cNvPr id="1273" name="Host Control  249"/>
        <xdr:cNvSpPr/>
      </xdr:nvSpPr>
      <xdr:spPr>
        <a:xfrm>
          <a:off x="0" y="428625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1</xdr:col>
      <xdr:colOff>238125</xdr:colOff>
      <xdr:row>253</xdr:row>
      <xdr:rowOff>95250</xdr:rowOff>
    </xdr:to>
    <xdr:sp>
      <xdr:nvSpPr>
        <xdr:cNvPr id="1274" name="Host Control  250"/>
        <xdr:cNvSpPr/>
      </xdr:nvSpPr>
      <xdr:spPr>
        <a:xfrm>
          <a:off x="0" y="430339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1</xdr:col>
      <xdr:colOff>238125</xdr:colOff>
      <xdr:row>254</xdr:row>
      <xdr:rowOff>95250</xdr:rowOff>
    </xdr:to>
    <xdr:sp>
      <xdr:nvSpPr>
        <xdr:cNvPr id="1275" name="Host Control  251"/>
        <xdr:cNvSpPr/>
      </xdr:nvSpPr>
      <xdr:spPr>
        <a:xfrm>
          <a:off x="0" y="432054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253</xdr:row>
      <xdr:rowOff>0</xdr:rowOff>
    </xdr:from>
    <xdr:to>
      <xdr:col>1</xdr:col>
      <xdr:colOff>238125</xdr:colOff>
      <xdr:row>255</xdr:row>
      <xdr:rowOff>95250</xdr:rowOff>
    </xdr:to>
    <xdr:sp>
      <xdr:nvSpPr>
        <xdr:cNvPr id="1276" name="Host Control  252"/>
        <xdr:cNvSpPr/>
      </xdr:nvSpPr>
      <xdr:spPr>
        <a:xfrm>
          <a:off x="0" y="4337685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254</xdr:row>
      <xdr:rowOff>0</xdr:rowOff>
    </xdr:from>
    <xdr:to>
      <xdr:col>1</xdr:col>
      <xdr:colOff>238125</xdr:colOff>
      <xdr:row>256</xdr:row>
      <xdr:rowOff>95250</xdr:rowOff>
    </xdr:to>
    <xdr:sp>
      <xdr:nvSpPr>
        <xdr:cNvPr id="1277" name="Host Control  253"/>
        <xdr:cNvSpPr/>
      </xdr:nvSpPr>
      <xdr:spPr>
        <a:xfrm>
          <a:off x="0" y="43548300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1</xdr:col>
      <xdr:colOff>238125</xdr:colOff>
      <xdr:row>257</xdr:row>
      <xdr:rowOff>95250</xdr:rowOff>
    </xdr:to>
    <xdr:sp>
      <xdr:nvSpPr>
        <xdr:cNvPr id="1278" name="Host Control  254"/>
        <xdr:cNvSpPr/>
      </xdr:nvSpPr>
      <xdr:spPr>
        <a:xfrm>
          <a:off x="0" y="43719750"/>
          <a:ext cx="685800" cy="561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256</xdr:row>
      <xdr:rowOff>0</xdr:rowOff>
    </xdr:from>
    <xdr:to>
      <xdr:col>1</xdr:col>
      <xdr:colOff>238125</xdr:colOff>
      <xdr:row>259</xdr:row>
      <xdr:rowOff>66675</xdr:rowOff>
    </xdr:to>
    <xdr:sp>
      <xdr:nvSpPr>
        <xdr:cNvPr id="1279" name="Host Control  255"/>
        <xdr:cNvSpPr/>
      </xdr:nvSpPr>
      <xdr:spPr>
        <a:xfrm>
          <a:off x="0" y="43891200"/>
          <a:ext cx="685800" cy="7048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257</xdr:row>
      <xdr:rowOff>0</xdr:rowOff>
    </xdr:from>
    <xdr:to>
      <xdr:col>1</xdr:col>
      <xdr:colOff>238125</xdr:colOff>
      <xdr:row>261</xdr:row>
      <xdr:rowOff>38100</xdr:rowOff>
    </xdr:to>
    <xdr:sp>
      <xdr:nvSpPr>
        <xdr:cNvPr id="1280" name="Host Control  256"/>
        <xdr:cNvSpPr/>
      </xdr:nvSpPr>
      <xdr:spPr>
        <a:xfrm>
          <a:off x="0" y="44186475"/>
          <a:ext cx="685800" cy="7239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258</xdr:row>
      <xdr:rowOff>0</xdr:rowOff>
    </xdr:from>
    <xdr:to>
      <xdr:col>1</xdr:col>
      <xdr:colOff>238125</xdr:colOff>
      <xdr:row>260</xdr:row>
      <xdr:rowOff>95250</xdr:rowOff>
    </xdr:to>
    <xdr:sp>
      <xdr:nvSpPr>
        <xdr:cNvPr id="1281" name="Host Control  257"/>
        <xdr:cNvSpPr/>
      </xdr:nvSpPr>
      <xdr:spPr>
        <a:xfrm>
          <a:off x="0" y="4435792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1</xdr:col>
      <xdr:colOff>238125</xdr:colOff>
      <xdr:row>261</xdr:row>
      <xdr:rowOff>95250</xdr:rowOff>
    </xdr:to>
    <xdr:sp>
      <xdr:nvSpPr>
        <xdr:cNvPr id="1282" name="Host Control  258"/>
        <xdr:cNvSpPr/>
      </xdr:nvSpPr>
      <xdr:spPr>
        <a:xfrm>
          <a:off x="0" y="445293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1</xdr:col>
      <xdr:colOff>238125</xdr:colOff>
      <xdr:row>262</xdr:row>
      <xdr:rowOff>95250</xdr:rowOff>
    </xdr:to>
    <xdr:sp>
      <xdr:nvSpPr>
        <xdr:cNvPr id="1283" name="Host Control  259"/>
        <xdr:cNvSpPr/>
      </xdr:nvSpPr>
      <xdr:spPr>
        <a:xfrm>
          <a:off x="0" y="4470082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261</xdr:row>
      <xdr:rowOff>0</xdr:rowOff>
    </xdr:from>
    <xdr:to>
      <xdr:col>1</xdr:col>
      <xdr:colOff>238125</xdr:colOff>
      <xdr:row>264</xdr:row>
      <xdr:rowOff>66675</xdr:rowOff>
    </xdr:to>
    <xdr:sp>
      <xdr:nvSpPr>
        <xdr:cNvPr id="1284" name="Host Control  260"/>
        <xdr:cNvSpPr/>
      </xdr:nvSpPr>
      <xdr:spPr>
        <a:xfrm>
          <a:off x="0" y="44872275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262</xdr:row>
      <xdr:rowOff>0</xdr:rowOff>
    </xdr:from>
    <xdr:to>
      <xdr:col>1</xdr:col>
      <xdr:colOff>238125</xdr:colOff>
      <xdr:row>264</xdr:row>
      <xdr:rowOff>95250</xdr:rowOff>
    </xdr:to>
    <xdr:sp>
      <xdr:nvSpPr>
        <xdr:cNvPr id="1285" name="Host Control  261"/>
        <xdr:cNvSpPr/>
      </xdr:nvSpPr>
      <xdr:spPr>
        <a:xfrm>
          <a:off x="0" y="4504372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263</xdr:row>
      <xdr:rowOff>0</xdr:rowOff>
    </xdr:from>
    <xdr:to>
      <xdr:col>1</xdr:col>
      <xdr:colOff>238125</xdr:colOff>
      <xdr:row>265</xdr:row>
      <xdr:rowOff>95250</xdr:rowOff>
    </xdr:to>
    <xdr:sp>
      <xdr:nvSpPr>
        <xdr:cNvPr id="1286" name="Host Control  262"/>
        <xdr:cNvSpPr/>
      </xdr:nvSpPr>
      <xdr:spPr>
        <a:xfrm>
          <a:off x="0" y="452151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264</xdr:row>
      <xdr:rowOff>0</xdr:rowOff>
    </xdr:from>
    <xdr:to>
      <xdr:col>1</xdr:col>
      <xdr:colOff>238125</xdr:colOff>
      <xdr:row>266</xdr:row>
      <xdr:rowOff>95250</xdr:rowOff>
    </xdr:to>
    <xdr:sp>
      <xdr:nvSpPr>
        <xdr:cNvPr id="1287" name="Host Control  263"/>
        <xdr:cNvSpPr/>
      </xdr:nvSpPr>
      <xdr:spPr>
        <a:xfrm>
          <a:off x="0" y="4538662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1</xdr:col>
      <xdr:colOff>238125</xdr:colOff>
      <xdr:row>267</xdr:row>
      <xdr:rowOff>95250</xdr:rowOff>
    </xdr:to>
    <xdr:sp>
      <xdr:nvSpPr>
        <xdr:cNvPr id="1288" name="Host Control  264"/>
        <xdr:cNvSpPr/>
      </xdr:nvSpPr>
      <xdr:spPr>
        <a:xfrm>
          <a:off x="0" y="455580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1</xdr:col>
      <xdr:colOff>238125</xdr:colOff>
      <xdr:row>268</xdr:row>
      <xdr:rowOff>95250</xdr:rowOff>
    </xdr:to>
    <xdr:sp>
      <xdr:nvSpPr>
        <xdr:cNvPr id="1289" name="Host Control  265"/>
        <xdr:cNvSpPr/>
      </xdr:nvSpPr>
      <xdr:spPr>
        <a:xfrm>
          <a:off x="0" y="4572952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267</xdr:row>
      <xdr:rowOff>0</xdr:rowOff>
    </xdr:from>
    <xdr:to>
      <xdr:col>1</xdr:col>
      <xdr:colOff>238125</xdr:colOff>
      <xdr:row>269</xdr:row>
      <xdr:rowOff>95250</xdr:rowOff>
    </xdr:to>
    <xdr:sp>
      <xdr:nvSpPr>
        <xdr:cNvPr id="1290" name="Host Control  266"/>
        <xdr:cNvSpPr/>
      </xdr:nvSpPr>
      <xdr:spPr>
        <a:xfrm>
          <a:off x="0" y="459009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268</xdr:row>
      <xdr:rowOff>0</xdr:rowOff>
    </xdr:from>
    <xdr:to>
      <xdr:col>1</xdr:col>
      <xdr:colOff>238125</xdr:colOff>
      <xdr:row>270</xdr:row>
      <xdr:rowOff>95250</xdr:rowOff>
    </xdr:to>
    <xdr:sp>
      <xdr:nvSpPr>
        <xdr:cNvPr id="1291" name="Host Control  267"/>
        <xdr:cNvSpPr/>
      </xdr:nvSpPr>
      <xdr:spPr>
        <a:xfrm>
          <a:off x="0" y="4607242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269</xdr:row>
      <xdr:rowOff>0</xdr:rowOff>
    </xdr:from>
    <xdr:to>
      <xdr:col>1</xdr:col>
      <xdr:colOff>238125</xdr:colOff>
      <xdr:row>271</xdr:row>
      <xdr:rowOff>95250</xdr:rowOff>
    </xdr:to>
    <xdr:sp>
      <xdr:nvSpPr>
        <xdr:cNvPr id="1292" name="Host Control  268"/>
        <xdr:cNvSpPr/>
      </xdr:nvSpPr>
      <xdr:spPr>
        <a:xfrm>
          <a:off x="0" y="462438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1</xdr:col>
      <xdr:colOff>238125</xdr:colOff>
      <xdr:row>272</xdr:row>
      <xdr:rowOff>95250</xdr:rowOff>
    </xdr:to>
    <xdr:sp>
      <xdr:nvSpPr>
        <xdr:cNvPr id="1293" name="Host Control  269"/>
        <xdr:cNvSpPr/>
      </xdr:nvSpPr>
      <xdr:spPr>
        <a:xfrm>
          <a:off x="0" y="4641532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271</xdr:row>
      <xdr:rowOff>0</xdr:rowOff>
    </xdr:from>
    <xdr:to>
      <xdr:col>1</xdr:col>
      <xdr:colOff>238125</xdr:colOff>
      <xdr:row>273</xdr:row>
      <xdr:rowOff>95250</xdr:rowOff>
    </xdr:to>
    <xdr:sp>
      <xdr:nvSpPr>
        <xdr:cNvPr id="1294" name="Host Control  270"/>
        <xdr:cNvSpPr/>
      </xdr:nvSpPr>
      <xdr:spPr>
        <a:xfrm>
          <a:off x="0" y="465867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272</xdr:row>
      <xdr:rowOff>0</xdr:rowOff>
    </xdr:from>
    <xdr:to>
      <xdr:col>1</xdr:col>
      <xdr:colOff>238125</xdr:colOff>
      <xdr:row>274</xdr:row>
      <xdr:rowOff>95250</xdr:rowOff>
    </xdr:to>
    <xdr:sp>
      <xdr:nvSpPr>
        <xdr:cNvPr id="1295" name="Host Control  271"/>
        <xdr:cNvSpPr/>
      </xdr:nvSpPr>
      <xdr:spPr>
        <a:xfrm>
          <a:off x="0" y="4675822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1</xdr:col>
      <xdr:colOff>238125</xdr:colOff>
      <xdr:row>275</xdr:row>
      <xdr:rowOff>95250</xdr:rowOff>
    </xdr:to>
    <xdr:sp>
      <xdr:nvSpPr>
        <xdr:cNvPr id="1296" name="Host Control  272"/>
        <xdr:cNvSpPr/>
      </xdr:nvSpPr>
      <xdr:spPr>
        <a:xfrm>
          <a:off x="0" y="469296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274</xdr:row>
      <xdr:rowOff>0</xdr:rowOff>
    </xdr:from>
    <xdr:to>
      <xdr:col>1</xdr:col>
      <xdr:colOff>238125</xdr:colOff>
      <xdr:row>277</xdr:row>
      <xdr:rowOff>66675</xdr:rowOff>
    </xdr:to>
    <xdr:sp>
      <xdr:nvSpPr>
        <xdr:cNvPr id="1297" name="Host Control  273"/>
        <xdr:cNvSpPr/>
      </xdr:nvSpPr>
      <xdr:spPr>
        <a:xfrm>
          <a:off x="0" y="47101125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1</xdr:col>
      <xdr:colOff>238125</xdr:colOff>
      <xdr:row>277</xdr:row>
      <xdr:rowOff>95250</xdr:rowOff>
    </xdr:to>
    <xdr:sp>
      <xdr:nvSpPr>
        <xdr:cNvPr id="1298" name="Host Control  274"/>
        <xdr:cNvSpPr/>
      </xdr:nvSpPr>
      <xdr:spPr>
        <a:xfrm>
          <a:off x="0" y="472725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276</xdr:row>
      <xdr:rowOff>0</xdr:rowOff>
    </xdr:from>
    <xdr:to>
      <xdr:col>1</xdr:col>
      <xdr:colOff>238125</xdr:colOff>
      <xdr:row>278</xdr:row>
      <xdr:rowOff>95250</xdr:rowOff>
    </xdr:to>
    <xdr:sp>
      <xdr:nvSpPr>
        <xdr:cNvPr id="1299" name="Host Control  275"/>
        <xdr:cNvSpPr/>
      </xdr:nvSpPr>
      <xdr:spPr>
        <a:xfrm>
          <a:off x="0" y="4744402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277</xdr:row>
      <xdr:rowOff>0</xdr:rowOff>
    </xdr:from>
    <xdr:to>
      <xdr:col>1</xdr:col>
      <xdr:colOff>238125</xdr:colOff>
      <xdr:row>279</xdr:row>
      <xdr:rowOff>95250</xdr:rowOff>
    </xdr:to>
    <xdr:sp>
      <xdr:nvSpPr>
        <xdr:cNvPr id="1300" name="Host Control  276"/>
        <xdr:cNvSpPr/>
      </xdr:nvSpPr>
      <xdr:spPr>
        <a:xfrm>
          <a:off x="0" y="476154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278</xdr:row>
      <xdr:rowOff>0</xdr:rowOff>
    </xdr:from>
    <xdr:to>
      <xdr:col>1</xdr:col>
      <xdr:colOff>238125</xdr:colOff>
      <xdr:row>280</xdr:row>
      <xdr:rowOff>95250</xdr:rowOff>
    </xdr:to>
    <xdr:sp>
      <xdr:nvSpPr>
        <xdr:cNvPr id="1301" name="Host Control  277"/>
        <xdr:cNvSpPr/>
      </xdr:nvSpPr>
      <xdr:spPr>
        <a:xfrm>
          <a:off x="0" y="4778692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279</xdr:row>
      <xdr:rowOff>0</xdr:rowOff>
    </xdr:from>
    <xdr:to>
      <xdr:col>1</xdr:col>
      <xdr:colOff>238125</xdr:colOff>
      <xdr:row>281</xdr:row>
      <xdr:rowOff>95250</xdr:rowOff>
    </xdr:to>
    <xdr:sp>
      <xdr:nvSpPr>
        <xdr:cNvPr id="1302" name="Host Control  278"/>
        <xdr:cNvSpPr/>
      </xdr:nvSpPr>
      <xdr:spPr>
        <a:xfrm>
          <a:off x="0" y="479583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1</xdr:col>
      <xdr:colOff>238125</xdr:colOff>
      <xdr:row>282</xdr:row>
      <xdr:rowOff>95250</xdr:rowOff>
    </xdr:to>
    <xdr:sp>
      <xdr:nvSpPr>
        <xdr:cNvPr id="1303" name="Host Control  279"/>
        <xdr:cNvSpPr/>
      </xdr:nvSpPr>
      <xdr:spPr>
        <a:xfrm>
          <a:off x="0" y="4812982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281</xdr:row>
      <xdr:rowOff>0</xdr:rowOff>
    </xdr:from>
    <xdr:to>
      <xdr:col>1</xdr:col>
      <xdr:colOff>238125</xdr:colOff>
      <xdr:row>284</xdr:row>
      <xdr:rowOff>66675</xdr:rowOff>
    </xdr:to>
    <xdr:sp>
      <xdr:nvSpPr>
        <xdr:cNvPr id="1304" name="Host Control  280"/>
        <xdr:cNvSpPr/>
      </xdr:nvSpPr>
      <xdr:spPr>
        <a:xfrm>
          <a:off x="0" y="48301275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282</xdr:row>
      <xdr:rowOff>0</xdr:rowOff>
    </xdr:from>
    <xdr:to>
      <xdr:col>1</xdr:col>
      <xdr:colOff>238125</xdr:colOff>
      <xdr:row>284</xdr:row>
      <xdr:rowOff>95250</xdr:rowOff>
    </xdr:to>
    <xdr:sp>
      <xdr:nvSpPr>
        <xdr:cNvPr id="1305" name="Host Control  281"/>
        <xdr:cNvSpPr/>
      </xdr:nvSpPr>
      <xdr:spPr>
        <a:xfrm>
          <a:off x="0" y="4847272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283</xdr:row>
      <xdr:rowOff>0</xdr:rowOff>
    </xdr:from>
    <xdr:to>
      <xdr:col>1</xdr:col>
      <xdr:colOff>238125</xdr:colOff>
      <xdr:row>285</xdr:row>
      <xdr:rowOff>95250</xdr:rowOff>
    </xdr:to>
    <xdr:sp>
      <xdr:nvSpPr>
        <xdr:cNvPr id="1306" name="Host Control  282"/>
        <xdr:cNvSpPr/>
      </xdr:nvSpPr>
      <xdr:spPr>
        <a:xfrm>
          <a:off x="0" y="486441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284</xdr:row>
      <xdr:rowOff>0</xdr:rowOff>
    </xdr:from>
    <xdr:to>
      <xdr:col>1</xdr:col>
      <xdr:colOff>238125</xdr:colOff>
      <xdr:row>286</xdr:row>
      <xdr:rowOff>95250</xdr:rowOff>
    </xdr:to>
    <xdr:sp>
      <xdr:nvSpPr>
        <xdr:cNvPr id="1307" name="Host Control  283"/>
        <xdr:cNvSpPr/>
      </xdr:nvSpPr>
      <xdr:spPr>
        <a:xfrm>
          <a:off x="0" y="4881562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285</xdr:row>
      <xdr:rowOff>0</xdr:rowOff>
    </xdr:from>
    <xdr:to>
      <xdr:col>1</xdr:col>
      <xdr:colOff>238125</xdr:colOff>
      <xdr:row>287</xdr:row>
      <xdr:rowOff>95250</xdr:rowOff>
    </xdr:to>
    <xdr:sp>
      <xdr:nvSpPr>
        <xdr:cNvPr id="1308" name="Host Control  284"/>
        <xdr:cNvSpPr/>
      </xdr:nvSpPr>
      <xdr:spPr>
        <a:xfrm>
          <a:off x="0" y="489870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286</xdr:row>
      <xdr:rowOff>0</xdr:rowOff>
    </xdr:from>
    <xdr:to>
      <xdr:col>1</xdr:col>
      <xdr:colOff>238125</xdr:colOff>
      <xdr:row>288</xdr:row>
      <xdr:rowOff>95250</xdr:rowOff>
    </xdr:to>
    <xdr:sp>
      <xdr:nvSpPr>
        <xdr:cNvPr id="1309" name="Host Control  285"/>
        <xdr:cNvSpPr/>
      </xdr:nvSpPr>
      <xdr:spPr>
        <a:xfrm>
          <a:off x="0" y="4915852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287</xdr:row>
      <xdr:rowOff>0</xdr:rowOff>
    </xdr:from>
    <xdr:to>
      <xdr:col>1</xdr:col>
      <xdr:colOff>238125</xdr:colOff>
      <xdr:row>289</xdr:row>
      <xdr:rowOff>95250</xdr:rowOff>
    </xdr:to>
    <xdr:sp>
      <xdr:nvSpPr>
        <xdr:cNvPr id="1310" name="Host Control  286"/>
        <xdr:cNvSpPr/>
      </xdr:nvSpPr>
      <xdr:spPr>
        <a:xfrm>
          <a:off x="0" y="493299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288</xdr:row>
      <xdr:rowOff>0</xdr:rowOff>
    </xdr:from>
    <xdr:to>
      <xdr:col>1</xdr:col>
      <xdr:colOff>238125</xdr:colOff>
      <xdr:row>290</xdr:row>
      <xdr:rowOff>95250</xdr:rowOff>
    </xdr:to>
    <xdr:sp>
      <xdr:nvSpPr>
        <xdr:cNvPr id="1311" name="Host Control  287"/>
        <xdr:cNvSpPr/>
      </xdr:nvSpPr>
      <xdr:spPr>
        <a:xfrm>
          <a:off x="0" y="4950142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289</xdr:row>
      <xdr:rowOff>0</xdr:rowOff>
    </xdr:from>
    <xdr:to>
      <xdr:col>1</xdr:col>
      <xdr:colOff>238125</xdr:colOff>
      <xdr:row>292</xdr:row>
      <xdr:rowOff>66675</xdr:rowOff>
    </xdr:to>
    <xdr:sp>
      <xdr:nvSpPr>
        <xdr:cNvPr id="1312" name="Host Control  288"/>
        <xdr:cNvSpPr/>
      </xdr:nvSpPr>
      <xdr:spPr>
        <a:xfrm>
          <a:off x="0" y="49672875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1</xdr:col>
      <xdr:colOff>238125</xdr:colOff>
      <xdr:row>292</xdr:row>
      <xdr:rowOff>95250</xdr:rowOff>
    </xdr:to>
    <xdr:sp>
      <xdr:nvSpPr>
        <xdr:cNvPr id="1313" name="Host Control  289"/>
        <xdr:cNvSpPr/>
      </xdr:nvSpPr>
      <xdr:spPr>
        <a:xfrm>
          <a:off x="0" y="4984432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291</xdr:row>
      <xdr:rowOff>0</xdr:rowOff>
    </xdr:from>
    <xdr:to>
      <xdr:col>1</xdr:col>
      <xdr:colOff>238125</xdr:colOff>
      <xdr:row>293</xdr:row>
      <xdr:rowOff>95250</xdr:rowOff>
    </xdr:to>
    <xdr:sp>
      <xdr:nvSpPr>
        <xdr:cNvPr id="1314" name="Host Control  290"/>
        <xdr:cNvSpPr/>
      </xdr:nvSpPr>
      <xdr:spPr>
        <a:xfrm>
          <a:off x="0" y="500157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292</xdr:row>
      <xdr:rowOff>0</xdr:rowOff>
    </xdr:from>
    <xdr:to>
      <xdr:col>1</xdr:col>
      <xdr:colOff>238125</xdr:colOff>
      <xdr:row>295</xdr:row>
      <xdr:rowOff>66675</xdr:rowOff>
    </xdr:to>
    <xdr:sp>
      <xdr:nvSpPr>
        <xdr:cNvPr id="1315" name="Host Control  291"/>
        <xdr:cNvSpPr/>
      </xdr:nvSpPr>
      <xdr:spPr>
        <a:xfrm>
          <a:off x="0" y="50187225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293</xdr:row>
      <xdr:rowOff>0</xdr:rowOff>
    </xdr:from>
    <xdr:to>
      <xdr:col>1</xdr:col>
      <xdr:colOff>238125</xdr:colOff>
      <xdr:row>296</xdr:row>
      <xdr:rowOff>66675</xdr:rowOff>
    </xdr:to>
    <xdr:sp>
      <xdr:nvSpPr>
        <xdr:cNvPr id="1316" name="Host Control  292"/>
        <xdr:cNvSpPr/>
      </xdr:nvSpPr>
      <xdr:spPr>
        <a:xfrm>
          <a:off x="0" y="50358675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1</xdr:col>
      <xdr:colOff>238125</xdr:colOff>
      <xdr:row>296</xdr:row>
      <xdr:rowOff>95250</xdr:rowOff>
    </xdr:to>
    <xdr:sp>
      <xdr:nvSpPr>
        <xdr:cNvPr id="1317" name="Host Control  293"/>
        <xdr:cNvSpPr/>
      </xdr:nvSpPr>
      <xdr:spPr>
        <a:xfrm>
          <a:off x="0" y="5053012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1</xdr:col>
      <xdr:colOff>238125</xdr:colOff>
      <xdr:row>296</xdr:row>
      <xdr:rowOff>123825</xdr:rowOff>
    </xdr:to>
    <xdr:sp>
      <xdr:nvSpPr>
        <xdr:cNvPr id="1318" name="Host Control  294"/>
        <xdr:cNvSpPr/>
      </xdr:nvSpPr>
      <xdr:spPr>
        <a:xfrm>
          <a:off x="0" y="50701575"/>
          <a:ext cx="685800" cy="2952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296</xdr:row>
      <xdr:rowOff>0</xdr:rowOff>
    </xdr:from>
    <xdr:to>
      <xdr:col>1</xdr:col>
      <xdr:colOff>238125</xdr:colOff>
      <xdr:row>299</xdr:row>
      <xdr:rowOff>66675</xdr:rowOff>
    </xdr:to>
    <xdr:sp>
      <xdr:nvSpPr>
        <xdr:cNvPr id="1319" name="Host Control  295"/>
        <xdr:cNvSpPr/>
      </xdr:nvSpPr>
      <xdr:spPr>
        <a:xfrm>
          <a:off x="0" y="50873025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297</xdr:row>
      <xdr:rowOff>0</xdr:rowOff>
    </xdr:from>
    <xdr:to>
      <xdr:col>1</xdr:col>
      <xdr:colOff>238125</xdr:colOff>
      <xdr:row>299</xdr:row>
      <xdr:rowOff>95250</xdr:rowOff>
    </xdr:to>
    <xdr:sp>
      <xdr:nvSpPr>
        <xdr:cNvPr id="1320" name="Host Control  296"/>
        <xdr:cNvSpPr/>
      </xdr:nvSpPr>
      <xdr:spPr>
        <a:xfrm>
          <a:off x="0" y="510444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298</xdr:row>
      <xdr:rowOff>0</xdr:rowOff>
    </xdr:from>
    <xdr:to>
      <xdr:col>1</xdr:col>
      <xdr:colOff>238125</xdr:colOff>
      <xdr:row>300</xdr:row>
      <xdr:rowOff>95250</xdr:rowOff>
    </xdr:to>
    <xdr:sp>
      <xdr:nvSpPr>
        <xdr:cNvPr id="1321" name="Host Control  297"/>
        <xdr:cNvSpPr/>
      </xdr:nvSpPr>
      <xdr:spPr>
        <a:xfrm>
          <a:off x="0" y="5121592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299</xdr:row>
      <xdr:rowOff>0</xdr:rowOff>
    </xdr:from>
    <xdr:to>
      <xdr:col>1</xdr:col>
      <xdr:colOff>238125</xdr:colOff>
      <xdr:row>301</xdr:row>
      <xdr:rowOff>95250</xdr:rowOff>
    </xdr:to>
    <xdr:sp>
      <xdr:nvSpPr>
        <xdr:cNvPr id="1322" name="Host Control  298"/>
        <xdr:cNvSpPr/>
      </xdr:nvSpPr>
      <xdr:spPr>
        <a:xfrm>
          <a:off x="0" y="513873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1</xdr:col>
      <xdr:colOff>238125</xdr:colOff>
      <xdr:row>303</xdr:row>
      <xdr:rowOff>66675</xdr:rowOff>
    </xdr:to>
    <xdr:sp>
      <xdr:nvSpPr>
        <xdr:cNvPr id="1323" name="Host Control  299"/>
        <xdr:cNvSpPr/>
      </xdr:nvSpPr>
      <xdr:spPr>
        <a:xfrm>
          <a:off x="0" y="51558825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1</xdr:col>
      <xdr:colOff>238125</xdr:colOff>
      <xdr:row>303</xdr:row>
      <xdr:rowOff>95250</xdr:rowOff>
    </xdr:to>
    <xdr:sp>
      <xdr:nvSpPr>
        <xdr:cNvPr id="1324" name="Host Control  300"/>
        <xdr:cNvSpPr/>
      </xdr:nvSpPr>
      <xdr:spPr>
        <a:xfrm>
          <a:off x="0" y="517302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302</xdr:row>
      <xdr:rowOff>0</xdr:rowOff>
    </xdr:from>
    <xdr:to>
      <xdr:col>1</xdr:col>
      <xdr:colOff>238125</xdr:colOff>
      <xdr:row>305</xdr:row>
      <xdr:rowOff>66675</xdr:rowOff>
    </xdr:to>
    <xdr:sp>
      <xdr:nvSpPr>
        <xdr:cNvPr id="1325" name="Host Control  301"/>
        <xdr:cNvSpPr/>
      </xdr:nvSpPr>
      <xdr:spPr>
        <a:xfrm>
          <a:off x="0" y="51901725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303</xdr:row>
      <xdr:rowOff>0</xdr:rowOff>
    </xdr:from>
    <xdr:to>
      <xdr:col>1</xdr:col>
      <xdr:colOff>238125</xdr:colOff>
      <xdr:row>305</xdr:row>
      <xdr:rowOff>95250</xdr:rowOff>
    </xdr:to>
    <xdr:sp>
      <xdr:nvSpPr>
        <xdr:cNvPr id="1326" name="Host Control  302"/>
        <xdr:cNvSpPr/>
      </xdr:nvSpPr>
      <xdr:spPr>
        <a:xfrm>
          <a:off x="0" y="520731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304</xdr:row>
      <xdr:rowOff>0</xdr:rowOff>
    </xdr:from>
    <xdr:to>
      <xdr:col>1</xdr:col>
      <xdr:colOff>238125</xdr:colOff>
      <xdr:row>305</xdr:row>
      <xdr:rowOff>123825</xdr:rowOff>
    </xdr:to>
    <xdr:sp>
      <xdr:nvSpPr>
        <xdr:cNvPr id="1327" name="Host Control  303"/>
        <xdr:cNvSpPr/>
      </xdr:nvSpPr>
      <xdr:spPr>
        <a:xfrm>
          <a:off x="0" y="52244625"/>
          <a:ext cx="685800" cy="2952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1</xdr:col>
      <xdr:colOff>238125</xdr:colOff>
      <xdr:row>307</xdr:row>
      <xdr:rowOff>95250</xdr:rowOff>
    </xdr:to>
    <xdr:sp>
      <xdr:nvSpPr>
        <xdr:cNvPr id="1328" name="Host Control  304"/>
        <xdr:cNvSpPr/>
      </xdr:nvSpPr>
      <xdr:spPr>
        <a:xfrm>
          <a:off x="0" y="524160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306</xdr:row>
      <xdr:rowOff>0</xdr:rowOff>
    </xdr:from>
    <xdr:to>
      <xdr:col>1</xdr:col>
      <xdr:colOff>238125</xdr:colOff>
      <xdr:row>308</xdr:row>
      <xdr:rowOff>95250</xdr:rowOff>
    </xdr:to>
    <xdr:sp>
      <xdr:nvSpPr>
        <xdr:cNvPr id="1329" name="Host Control  305"/>
        <xdr:cNvSpPr/>
      </xdr:nvSpPr>
      <xdr:spPr>
        <a:xfrm>
          <a:off x="0" y="5258752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307</xdr:row>
      <xdr:rowOff>0</xdr:rowOff>
    </xdr:from>
    <xdr:to>
      <xdr:col>1</xdr:col>
      <xdr:colOff>238125</xdr:colOff>
      <xdr:row>309</xdr:row>
      <xdr:rowOff>95250</xdr:rowOff>
    </xdr:to>
    <xdr:sp>
      <xdr:nvSpPr>
        <xdr:cNvPr id="1330" name="Host Control  306"/>
        <xdr:cNvSpPr/>
      </xdr:nvSpPr>
      <xdr:spPr>
        <a:xfrm>
          <a:off x="0" y="527589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1</xdr:col>
      <xdr:colOff>238125</xdr:colOff>
      <xdr:row>309</xdr:row>
      <xdr:rowOff>123825</xdr:rowOff>
    </xdr:to>
    <xdr:sp>
      <xdr:nvSpPr>
        <xdr:cNvPr id="1331" name="Host Control  307"/>
        <xdr:cNvSpPr/>
      </xdr:nvSpPr>
      <xdr:spPr>
        <a:xfrm>
          <a:off x="0" y="52930425"/>
          <a:ext cx="685800" cy="2952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309</xdr:row>
      <xdr:rowOff>0</xdr:rowOff>
    </xdr:from>
    <xdr:to>
      <xdr:col>1</xdr:col>
      <xdr:colOff>238125</xdr:colOff>
      <xdr:row>311</xdr:row>
      <xdr:rowOff>95250</xdr:rowOff>
    </xdr:to>
    <xdr:sp>
      <xdr:nvSpPr>
        <xdr:cNvPr id="1332" name="Host Control  308"/>
        <xdr:cNvSpPr/>
      </xdr:nvSpPr>
      <xdr:spPr>
        <a:xfrm>
          <a:off x="0" y="531018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1</xdr:col>
      <xdr:colOff>238125</xdr:colOff>
      <xdr:row>312</xdr:row>
      <xdr:rowOff>95250</xdr:rowOff>
    </xdr:to>
    <xdr:sp>
      <xdr:nvSpPr>
        <xdr:cNvPr id="1333" name="Host Control  309"/>
        <xdr:cNvSpPr/>
      </xdr:nvSpPr>
      <xdr:spPr>
        <a:xfrm>
          <a:off x="0" y="5327332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1</xdr:col>
      <xdr:colOff>238125</xdr:colOff>
      <xdr:row>313</xdr:row>
      <xdr:rowOff>95250</xdr:rowOff>
    </xdr:to>
    <xdr:sp>
      <xdr:nvSpPr>
        <xdr:cNvPr id="1334" name="Host Control  310"/>
        <xdr:cNvSpPr/>
      </xdr:nvSpPr>
      <xdr:spPr>
        <a:xfrm>
          <a:off x="0" y="534447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312</xdr:row>
      <xdr:rowOff>0</xdr:rowOff>
    </xdr:from>
    <xdr:to>
      <xdr:col>1</xdr:col>
      <xdr:colOff>238125</xdr:colOff>
      <xdr:row>315</xdr:row>
      <xdr:rowOff>66675</xdr:rowOff>
    </xdr:to>
    <xdr:sp>
      <xdr:nvSpPr>
        <xdr:cNvPr id="1335" name="Host Control  311"/>
        <xdr:cNvSpPr/>
      </xdr:nvSpPr>
      <xdr:spPr>
        <a:xfrm>
          <a:off x="0" y="53616225"/>
          <a:ext cx="685800" cy="581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313</xdr:row>
      <xdr:rowOff>0</xdr:rowOff>
    </xdr:from>
    <xdr:to>
      <xdr:col>1</xdr:col>
      <xdr:colOff>238125</xdr:colOff>
      <xdr:row>315</xdr:row>
      <xdr:rowOff>95250</xdr:rowOff>
    </xdr:to>
    <xdr:sp>
      <xdr:nvSpPr>
        <xdr:cNvPr id="1336" name="Host Control  312"/>
        <xdr:cNvSpPr/>
      </xdr:nvSpPr>
      <xdr:spPr>
        <a:xfrm>
          <a:off x="0" y="537876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314</xdr:row>
      <xdr:rowOff>0</xdr:rowOff>
    </xdr:from>
    <xdr:to>
      <xdr:col>1</xdr:col>
      <xdr:colOff>238125</xdr:colOff>
      <xdr:row>316</xdr:row>
      <xdr:rowOff>95250</xdr:rowOff>
    </xdr:to>
    <xdr:sp>
      <xdr:nvSpPr>
        <xdr:cNvPr id="1337" name="Host Control  313"/>
        <xdr:cNvSpPr/>
      </xdr:nvSpPr>
      <xdr:spPr>
        <a:xfrm>
          <a:off x="0" y="5395912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1</xdr:col>
      <xdr:colOff>238125</xdr:colOff>
      <xdr:row>317</xdr:row>
      <xdr:rowOff>95250</xdr:rowOff>
    </xdr:to>
    <xdr:sp>
      <xdr:nvSpPr>
        <xdr:cNvPr id="1338" name="Host Control  314"/>
        <xdr:cNvSpPr/>
      </xdr:nvSpPr>
      <xdr:spPr>
        <a:xfrm>
          <a:off x="0" y="541305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316</xdr:row>
      <xdr:rowOff>0</xdr:rowOff>
    </xdr:from>
    <xdr:to>
      <xdr:col>1</xdr:col>
      <xdr:colOff>238125</xdr:colOff>
      <xdr:row>318</xdr:row>
      <xdr:rowOff>95250</xdr:rowOff>
    </xdr:to>
    <xdr:sp>
      <xdr:nvSpPr>
        <xdr:cNvPr id="1339" name="Host Control  315"/>
        <xdr:cNvSpPr/>
      </xdr:nvSpPr>
      <xdr:spPr>
        <a:xfrm>
          <a:off x="0" y="5430202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317</xdr:row>
      <xdr:rowOff>0</xdr:rowOff>
    </xdr:from>
    <xdr:to>
      <xdr:col>1</xdr:col>
      <xdr:colOff>238125</xdr:colOff>
      <xdr:row>319</xdr:row>
      <xdr:rowOff>95250</xdr:rowOff>
    </xdr:to>
    <xdr:sp>
      <xdr:nvSpPr>
        <xdr:cNvPr id="1340" name="Host Control  316"/>
        <xdr:cNvSpPr/>
      </xdr:nvSpPr>
      <xdr:spPr>
        <a:xfrm>
          <a:off x="0" y="544734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318</xdr:row>
      <xdr:rowOff>0</xdr:rowOff>
    </xdr:from>
    <xdr:to>
      <xdr:col>1</xdr:col>
      <xdr:colOff>238125</xdr:colOff>
      <xdr:row>320</xdr:row>
      <xdr:rowOff>95250</xdr:rowOff>
    </xdr:to>
    <xdr:sp>
      <xdr:nvSpPr>
        <xdr:cNvPr id="1341" name="Host Control  317"/>
        <xdr:cNvSpPr/>
      </xdr:nvSpPr>
      <xdr:spPr>
        <a:xfrm>
          <a:off x="0" y="5464492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319</xdr:row>
      <xdr:rowOff>0</xdr:rowOff>
    </xdr:from>
    <xdr:to>
      <xdr:col>1</xdr:col>
      <xdr:colOff>238125</xdr:colOff>
      <xdr:row>321</xdr:row>
      <xdr:rowOff>95250</xdr:rowOff>
    </xdr:to>
    <xdr:sp>
      <xdr:nvSpPr>
        <xdr:cNvPr id="1342" name="Host Control  318"/>
        <xdr:cNvSpPr/>
      </xdr:nvSpPr>
      <xdr:spPr>
        <a:xfrm>
          <a:off x="0" y="548163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1</xdr:col>
      <xdr:colOff>238125</xdr:colOff>
      <xdr:row>322</xdr:row>
      <xdr:rowOff>95250</xdr:rowOff>
    </xdr:to>
    <xdr:sp>
      <xdr:nvSpPr>
        <xdr:cNvPr id="1343" name="Host Control  319"/>
        <xdr:cNvSpPr/>
      </xdr:nvSpPr>
      <xdr:spPr>
        <a:xfrm>
          <a:off x="0" y="5498782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1</xdr:col>
      <xdr:colOff>238125</xdr:colOff>
      <xdr:row>323</xdr:row>
      <xdr:rowOff>95250</xdr:rowOff>
    </xdr:to>
    <xdr:sp>
      <xdr:nvSpPr>
        <xdr:cNvPr id="1344" name="Host Control  320"/>
        <xdr:cNvSpPr/>
      </xdr:nvSpPr>
      <xdr:spPr>
        <a:xfrm>
          <a:off x="0" y="55159275"/>
          <a:ext cx="685800" cy="43815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0</xdr:colOff>
      <xdr:row>5</xdr:row>
      <xdr:rowOff>76200</xdr:rowOff>
    </xdr:to>
    <xdr:sp>
      <xdr:nvSpPr>
        <xdr:cNvPr id="2049" name="Host Control  1"/>
        <xdr:cNvSpPr/>
      </xdr:nvSpPr>
      <xdr:spPr>
        <a:xfrm>
          <a:off x="0" y="3429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1</xdr:col>
      <xdr:colOff>0</xdr:colOff>
      <xdr:row>5</xdr:row>
      <xdr:rowOff>104775</xdr:rowOff>
    </xdr:to>
    <xdr:sp>
      <xdr:nvSpPr>
        <xdr:cNvPr id="2050" name="Host Control  2"/>
        <xdr:cNvSpPr/>
      </xdr:nvSpPr>
      <xdr:spPr>
        <a:xfrm>
          <a:off x="0" y="5143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0</xdr:colOff>
      <xdr:row>7</xdr:row>
      <xdr:rowOff>76200</xdr:rowOff>
    </xdr:to>
    <xdr:sp>
      <xdr:nvSpPr>
        <xdr:cNvPr id="2051" name="Host Control  3"/>
        <xdr:cNvSpPr/>
      </xdr:nvSpPr>
      <xdr:spPr>
        <a:xfrm>
          <a:off x="0" y="6858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0</xdr:colOff>
      <xdr:row>7</xdr:row>
      <xdr:rowOff>104775</xdr:rowOff>
    </xdr:to>
    <xdr:sp>
      <xdr:nvSpPr>
        <xdr:cNvPr id="2052" name="Host Control  4"/>
        <xdr:cNvSpPr/>
      </xdr:nvSpPr>
      <xdr:spPr>
        <a:xfrm>
          <a:off x="0" y="8572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0</xdr:colOff>
      <xdr:row>9</xdr:row>
      <xdr:rowOff>76200</xdr:rowOff>
    </xdr:to>
    <xdr:sp>
      <xdr:nvSpPr>
        <xdr:cNvPr id="2053" name="Host Control  5"/>
        <xdr:cNvSpPr/>
      </xdr:nvSpPr>
      <xdr:spPr>
        <a:xfrm>
          <a:off x="0" y="10287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0</xdr:colOff>
      <xdr:row>9</xdr:row>
      <xdr:rowOff>104775</xdr:rowOff>
    </xdr:to>
    <xdr:sp>
      <xdr:nvSpPr>
        <xdr:cNvPr id="2054" name="Host Control  6"/>
        <xdr:cNvSpPr/>
      </xdr:nvSpPr>
      <xdr:spPr>
        <a:xfrm>
          <a:off x="0" y="12001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1</xdr:col>
      <xdr:colOff>0</xdr:colOff>
      <xdr:row>10</xdr:row>
      <xdr:rowOff>104775</xdr:rowOff>
    </xdr:to>
    <xdr:sp>
      <xdr:nvSpPr>
        <xdr:cNvPr id="2055" name="Host Control  7"/>
        <xdr:cNvSpPr/>
      </xdr:nvSpPr>
      <xdr:spPr>
        <a:xfrm>
          <a:off x="0" y="13716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1</xdr:col>
      <xdr:colOff>0</xdr:colOff>
      <xdr:row>10</xdr:row>
      <xdr:rowOff>133350</xdr:rowOff>
    </xdr:to>
    <xdr:sp>
      <xdr:nvSpPr>
        <xdr:cNvPr id="2056" name="Host Control  8"/>
        <xdr:cNvSpPr/>
      </xdr:nvSpPr>
      <xdr:spPr>
        <a:xfrm>
          <a:off x="0" y="1543050"/>
          <a:ext cx="685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0</xdr:colOff>
      <xdr:row>12</xdr:row>
      <xdr:rowOff>104775</xdr:rowOff>
    </xdr:to>
    <xdr:sp>
      <xdr:nvSpPr>
        <xdr:cNvPr id="2057" name="Host Control  9"/>
        <xdr:cNvSpPr/>
      </xdr:nvSpPr>
      <xdr:spPr>
        <a:xfrm>
          <a:off x="0" y="17145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1</xdr:col>
      <xdr:colOff>0</xdr:colOff>
      <xdr:row>13</xdr:row>
      <xdr:rowOff>104775</xdr:rowOff>
    </xdr:to>
    <xdr:sp>
      <xdr:nvSpPr>
        <xdr:cNvPr id="2058" name="Host Control  10"/>
        <xdr:cNvSpPr/>
      </xdr:nvSpPr>
      <xdr:spPr>
        <a:xfrm>
          <a:off x="0" y="18859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1</xdr:col>
      <xdr:colOff>0</xdr:colOff>
      <xdr:row>14</xdr:row>
      <xdr:rowOff>104775</xdr:rowOff>
    </xdr:to>
    <xdr:sp>
      <xdr:nvSpPr>
        <xdr:cNvPr id="2059" name="Host Control  11"/>
        <xdr:cNvSpPr/>
      </xdr:nvSpPr>
      <xdr:spPr>
        <a:xfrm>
          <a:off x="0" y="20574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1</xdr:col>
      <xdr:colOff>0</xdr:colOff>
      <xdr:row>15</xdr:row>
      <xdr:rowOff>104775</xdr:rowOff>
    </xdr:to>
    <xdr:sp>
      <xdr:nvSpPr>
        <xdr:cNvPr id="2060" name="Host Control  12"/>
        <xdr:cNvSpPr/>
      </xdr:nvSpPr>
      <xdr:spPr>
        <a:xfrm>
          <a:off x="0" y="22288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1</xdr:col>
      <xdr:colOff>0</xdr:colOff>
      <xdr:row>16</xdr:row>
      <xdr:rowOff>104775</xdr:rowOff>
    </xdr:to>
    <xdr:sp>
      <xdr:nvSpPr>
        <xdr:cNvPr id="2061" name="Host Control  13"/>
        <xdr:cNvSpPr/>
      </xdr:nvSpPr>
      <xdr:spPr>
        <a:xfrm>
          <a:off x="0" y="24003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1</xdr:col>
      <xdr:colOff>0</xdr:colOff>
      <xdr:row>17</xdr:row>
      <xdr:rowOff>104775</xdr:rowOff>
    </xdr:to>
    <xdr:sp>
      <xdr:nvSpPr>
        <xdr:cNvPr id="2062" name="Host Control  14"/>
        <xdr:cNvSpPr/>
      </xdr:nvSpPr>
      <xdr:spPr>
        <a:xfrm>
          <a:off x="0" y="25717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1</xdr:col>
      <xdr:colOff>0</xdr:colOff>
      <xdr:row>19</xdr:row>
      <xdr:rowOff>85725</xdr:rowOff>
    </xdr:to>
    <xdr:sp>
      <xdr:nvSpPr>
        <xdr:cNvPr id="2063" name="Host Control  15"/>
        <xdr:cNvSpPr/>
      </xdr:nvSpPr>
      <xdr:spPr>
        <a:xfrm>
          <a:off x="0" y="274320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1</xdr:col>
      <xdr:colOff>0</xdr:colOff>
      <xdr:row>19</xdr:row>
      <xdr:rowOff>104775</xdr:rowOff>
    </xdr:to>
    <xdr:sp>
      <xdr:nvSpPr>
        <xdr:cNvPr id="2064" name="Host Control  16"/>
        <xdr:cNvSpPr/>
      </xdr:nvSpPr>
      <xdr:spPr>
        <a:xfrm>
          <a:off x="0" y="29146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1</xdr:col>
      <xdr:colOff>0</xdr:colOff>
      <xdr:row>20</xdr:row>
      <xdr:rowOff>104775</xdr:rowOff>
    </xdr:to>
    <xdr:sp>
      <xdr:nvSpPr>
        <xdr:cNvPr id="2065" name="Host Control  17"/>
        <xdr:cNvSpPr/>
      </xdr:nvSpPr>
      <xdr:spPr>
        <a:xfrm>
          <a:off x="0" y="30861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1</xdr:col>
      <xdr:colOff>0</xdr:colOff>
      <xdr:row>21</xdr:row>
      <xdr:rowOff>104775</xdr:rowOff>
    </xdr:to>
    <xdr:sp>
      <xdr:nvSpPr>
        <xdr:cNvPr id="2066" name="Host Control  18"/>
        <xdr:cNvSpPr/>
      </xdr:nvSpPr>
      <xdr:spPr>
        <a:xfrm>
          <a:off x="0" y="32575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1</xdr:col>
      <xdr:colOff>0</xdr:colOff>
      <xdr:row>22</xdr:row>
      <xdr:rowOff>104775</xdr:rowOff>
    </xdr:to>
    <xdr:sp>
      <xdr:nvSpPr>
        <xdr:cNvPr id="2067" name="Host Control  19"/>
        <xdr:cNvSpPr/>
      </xdr:nvSpPr>
      <xdr:spPr>
        <a:xfrm>
          <a:off x="0" y="34290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1</xdr:col>
      <xdr:colOff>0</xdr:colOff>
      <xdr:row>23</xdr:row>
      <xdr:rowOff>104775</xdr:rowOff>
    </xdr:to>
    <xdr:sp>
      <xdr:nvSpPr>
        <xdr:cNvPr id="2068" name="Host Control  20"/>
        <xdr:cNvSpPr/>
      </xdr:nvSpPr>
      <xdr:spPr>
        <a:xfrm>
          <a:off x="0" y="36004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1</xdr:col>
      <xdr:colOff>0</xdr:colOff>
      <xdr:row>24</xdr:row>
      <xdr:rowOff>104775</xdr:rowOff>
    </xdr:to>
    <xdr:sp>
      <xdr:nvSpPr>
        <xdr:cNvPr id="2069" name="Host Control  21"/>
        <xdr:cNvSpPr/>
      </xdr:nvSpPr>
      <xdr:spPr>
        <a:xfrm>
          <a:off x="0" y="37719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1</xdr:col>
      <xdr:colOff>0</xdr:colOff>
      <xdr:row>25</xdr:row>
      <xdr:rowOff>104775</xdr:rowOff>
    </xdr:to>
    <xdr:sp>
      <xdr:nvSpPr>
        <xdr:cNvPr id="2070" name="Host Control  22"/>
        <xdr:cNvSpPr/>
      </xdr:nvSpPr>
      <xdr:spPr>
        <a:xfrm>
          <a:off x="0" y="39433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1</xdr:col>
      <xdr:colOff>0</xdr:colOff>
      <xdr:row>25</xdr:row>
      <xdr:rowOff>133350</xdr:rowOff>
    </xdr:to>
    <xdr:sp>
      <xdr:nvSpPr>
        <xdr:cNvPr id="2071" name="Host Control  23"/>
        <xdr:cNvSpPr/>
      </xdr:nvSpPr>
      <xdr:spPr>
        <a:xfrm>
          <a:off x="0" y="4114800"/>
          <a:ext cx="685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1</xdr:col>
      <xdr:colOff>0</xdr:colOff>
      <xdr:row>27</xdr:row>
      <xdr:rowOff>104775</xdr:rowOff>
    </xdr:to>
    <xdr:sp>
      <xdr:nvSpPr>
        <xdr:cNvPr id="2072" name="Host Control  24"/>
        <xdr:cNvSpPr/>
      </xdr:nvSpPr>
      <xdr:spPr>
        <a:xfrm>
          <a:off x="0" y="42862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1</xdr:col>
      <xdr:colOff>0</xdr:colOff>
      <xdr:row>29</xdr:row>
      <xdr:rowOff>76200</xdr:rowOff>
    </xdr:to>
    <xdr:sp>
      <xdr:nvSpPr>
        <xdr:cNvPr id="2073" name="Host Control  25"/>
        <xdr:cNvSpPr/>
      </xdr:nvSpPr>
      <xdr:spPr>
        <a:xfrm>
          <a:off x="0" y="44577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1</xdr:col>
      <xdr:colOff>0</xdr:colOff>
      <xdr:row>29</xdr:row>
      <xdr:rowOff>104775</xdr:rowOff>
    </xdr:to>
    <xdr:sp>
      <xdr:nvSpPr>
        <xdr:cNvPr id="2074" name="Host Control  26"/>
        <xdr:cNvSpPr/>
      </xdr:nvSpPr>
      <xdr:spPr>
        <a:xfrm>
          <a:off x="0" y="46291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1</xdr:col>
      <xdr:colOff>0</xdr:colOff>
      <xdr:row>30</xdr:row>
      <xdr:rowOff>104775</xdr:rowOff>
    </xdr:to>
    <xdr:sp>
      <xdr:nvSpPr>
        <xdr:cNvPr id="2075" name="Host Control  27"/>
        <xdr:cNvSpPr/>
      </xdr:nvSpPr>
      <xdr:spPr>
        <a:xfrm>
          <a:off x="0" y="48006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1</xdr:col>
      <xdr:colOff>0</xdr:colOff>
      <xdr:row>31</xdr:row>
      <xdr:rowOff>104775</xdr:rowOff>
    </xdr:to>
    <xdr:sp>
      <xdr:nvSpPr>
        <xdr:cNvPr id="2076" name="Host Control  28"/>
        <xdr:cNvSpPr/>
      </xdr:nvSpPr>
      <xdr:spPr>
        <a:xfrm>
          <a:off x="0" y="49720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1</xdr:col>
      <xdr:colOff>0</xdr:colOff>
      <xdr:row>33</xdr:row>
      <xdr:rowOff>76200</xdr:rowOff>
    </xdr:to>
    <xdr:sp>
      <xdr:nvSpPr>
        <xdr:cNvPr id="2077" name="Host Control  29"/>
        <xdr:cNvSpPr/>
      </xdr:nvSpPr>
      <xdr:spPr>
        <a:xfrm>
          <a:off x="0" y="51435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1</xdr:col>
      <xdr:colOff>0</xdr:colOff>
      <xdr:row>33</xdr:row>
      <xdr:rowOff>104775</xdr:rowOff>
    </xdr:to>
    <xdr:sp>
      <xdr:nvSpPr>
        <xdr:cNvPr id="2078" name="Host Control  30"/>
        <xdr:cNvSpPr/>
      </xdr:nvSpPr>
      <xdr:spPr>
        <a:xfrm>
          <a:off x="0" y="53149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1</xdr:col>
      <xdr:colOff>0</xdr:colOff>
      <xdr:row>34</xdr:row>
      <xdr:rowOff>104775</xdr:rowOff>
    </xdr:to>
    <xdr:sp>
      <xdr:nvSpPr>
        <xdr:cNvPr id="2079" name="Host Control  31"/>
        <xdr:cNvSpPr/>
      </xdr:nvSpPr>
      <xdr:spPr>
        <a:xfrm>
          <a:off x="0" y="54864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1</xdr:col>
      <xdr:colOff>0</xdr:colOff>
      <xdr:row>35</xdr:row>
      <xdr:rowOff>104775</xdr:rowOff>
    </xdr:to>
    <xdr:sp>
      <xdr:nvSpPr>
        <xdr:cNvPr id="2080" name="Host Control  32"/>
        <xdr:cNvSpPr/>
      </xdr:nvSpPr>
      <xdr:spPr>
        <a:xfrm>
          <a:off x="0" y="56578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1</xdr:col>
      <xdr:colOff>0</xdr:colOff>
      <xdr:row>36</xdr:row>
      <xdr:rowOff>104775</xdr:rowOff>
    </xdr:to>
    <xdr:sp>
      <xdr:nvSpPr>
        <xdr:cNvPr id="2081" name="Host Control  33"/>
        <xdr:cNvSpPr/>
      </xdr:nvSpPr>
      <xdr:spPr>
        <a:xfrm>
          <a:off x="0" y="58293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1</xdr:col>
      <xdr:colOff>0</xdr:colOff>
      <xdr:row>37</xdr:row>
      <xdr:rowOff>104775</xdr:rowOff>
    </xdr:to>
    <xdr:sp>
      <xdr:nvSpPr>
        <xdr:cNvPr id="2082" name="Host Control  34"/>
        <xdr:cNvSpPr/>
      </xdr:nvSpPr>
      <xdr:spPr>
        <a:xfrm>
          <a:off x="0" y="60007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1</xdr:col>
      <xdr:colOff>0</xdr:colOff>
      <xdr:row>38</xdr:row>
      <xdr:rowOff>104775</xdr:rowOff>
    </xdr:to>
    <xdr:sp>
      <xdr:nvSpPr>
        <xdr:cNvPr id="2083" name="Host Control  35"/>
        <xdr:cNvSpPr/>
      </xdr:nvSpPr>
      <xdr:spPr>
        <a:xfrm>
          <a:off x="0" y="61722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1</xdr:col>
      <xdr:colOff>0</xdr:colOff>
      <xdr:row>39</xdr:row>
      <xdr:rowOff>104775</xdr:rowOff>
    </xdr:to>
    <xdr:sp>
      <xdr:nvSpPr>
        <xdr:cNvPr id="2084" name="Host Control  36"/>
        <xdr:cNvSpPr/>
      </xdr:nvSpPr>
      <xdr:spPr>
        <a:xfrm>
          <a:off x="0" y="63436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1</xdr:col>
      <xdr:colOff>0</xdr:colOff>
      <xdr:row>40</xdr:row>
      <xdr:rowOff>104775</xdr:rowOff>
    </xdr:to>
    <xdr:sp>
      <xdr:nvSpPr>
        <xdr:cNvPr id="2085" name="Host Control  37"/>
        <xdr:cNvSpPr/>
      </xdr:nvSpPr>
      <xdr:spPr>
        <a:xfrm>
          <a:off x="0" y="65151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1</xdr:col>
      <xdr:colOff>0</xdr:colOff>
      <xdr:row>41</xdr:row>
      <xdr:rowOff>104775</xdr:rowOff>
    </xdr:to>
    <xdr:sp>
      <xdr:nvSpPr>
        <xdr:cNvPr id="2086" name="Host Control  38"/>
        <xdr:cNvSpPr/>
      </xdr:nvSpPr>
      <xdr:spPr>
        <a:xfrm>
          <a:off x="0" y="66865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1</xdr:col>
      <xdr:colOff>0</xdr:colOff>
      <xdr:row>42</xdr:row>
      <xdr:rowOff>104775</xdr:rowOff>
    </xdr:to>
    <xdr:sp>
      <xdr:nvSpPr>
        <xdr:cNvPr id="2087" name="Host Control  39"/>
        <xdr:cNvSpPr/>
      </xdr:nvSpPr>
      <xdr:spPr>
        <a:xfrm>
          <a:off x="0" y="68580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1</xdr:col>
      <xdr:colOff>0</xdr:colOff>
      <xdr:row>43</xdr:row>
      <xdr:rowOff>104775</xdr:rowOff>
    </xdr:to>
    <xdr:sp>
      <xdr:nvSpPr>
        <xdr:cNvPr id="2088" name="Host Control  40"/>
        <xdr:cNvSpPr/>
      </xdr:nvSpPr>
      <xdr:spPr>
        <a:xfrm>
          <a:off x="0" y="70294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1</xdr:col>
      <xdr:colOff>0</xdr:colOff>
      <xdr:row>44</xdr:row>
      <xdr:rowOff>104775</xdr:rowOff>
    </xdr:to>
    <xdr:sp>
      <xdr:nvSpPr>
        <xdr:cNvPr id="2089" name="Host Control  41"/>
        <xdr:cNvSpPr/>
      </xdr:nvSpPr>
      <xdr:spPr>
        <a:xfrm>
          <a:off x="0" y="72009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1</xdr:col>
      <xdr:colOff>0</xdr:colOff>
      <xdr:row>45</xdr:row>
      <xdr:rowOff>104775</xdr:rowOff>
    </xdr:to>
    <xdr:sp>
      <xdr:nvSpPr>
        <xdr:cNvPr id="2090" name="Host Control  42"/>
        <xdr:cNvSpPr/>
      </xdr:nvSpPr>
      <xdr:spPr>
        <a:xfrm>
          <a:off x="0" y="73723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0</xdr:colOff>
      <xdr:row>46</xdr:row>
      <xdr:rowOff>104775</xdr:rowOff>
    </xdr:to>
    <xdr:sp>
      <xdr:nvSpPr>
        <xdr:cNvPr id="2091" name="Host Control  43"/>
        <xdr:cNvSpPr/>
      </xdr:nvSpPr>
      <xdr:spPr>
        <a:xfrm>
          <a:off x="0" y="75438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0</xdr:colOff>
      <xdr:row>47</xdr:row>
      <xdr:rowOff>104775</xdr:rowOff>
    </xdr:to>
    <xdr:sp>
      <xdr:nvSpPr>
        <xdr:cNvPr id="2092" name="Host Control  44"/>
        <xdr:cNvSpPr/>
      </xdr:nvSpPr>
      <xdr:spPr>
        <a:xfrm>
          <a:off x="0" y="77152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0</xdr:colOff>
      <xdr:row>48</xdr:row>
      <xdr:rowOff>104775</xdr:rowOff>
    </xdr:to>
    <xdr:sp>
      <xdr:nvSpPr>
        <xdr:cNvPr id="2093" name="Host Control  45"/>
        <xdr:cNvSpPr/>
      </xdr:nvSpPr>
      <xdr:spPr>
        <a:xfrm>
          <a:off x="0" y="78867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0</xdr:colOff>
      <xdr:row>50</xdr:row>
      <xdr:rowOff>85725</xdr:rowOff>
    </xdr:to>
    <xdr:sp>
      <xdr:nvSpPr>
        <xdr:cNvPr id="2094" name="Host Control  46"/>
        <xdr:cNvSpPr/>
      </xdr:nvSpPr>
      <xdr:spPr>
        <a:xfrm>
          <a:off x="0" y="805815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0</xdr:colOff>
      <xdr:row>50</xdr:row>
      <xdr:rowOff>104775</xdr:rowOff>
    </xdr:to>
    <xdr:sp>
      <xdr:nvSpPr>
        <xdr:cNvPr id="2095" name="Host Control  47"/>
        <xdr:cNvSpPr/>
      </xdr:nvSpPr>
      <xdr:spPr>
        <a:xfrm>
          <a:off x="0" y="82296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0</xdr:colOff>
      <xdr:row>51</xdr:row>
      <xdr:rowOff>104775</xdr:rowOff>
    </xdr:to>
    <xdr:sp>
      <xdr:nvSpPr>
        <xdr:cNvPr id="2096" name="Host Control  48"/>
        <xdr:cNvSpPr/>
      </xdr:nvSpPr>
      <xdr:spPr>
        <a:xfrm>
          <a:off x="0" y="84010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0</xdr:colOff>
      <xdr:row>52</xdr:row>
      <xdr:rowOff>104775</xdr:rowOff>
    </xdr:to>
    <xdr:sp>
      <xdr:nvSpPr>
        <xdr:cNvPr id="2097" name="Host Control  49"/>
        <xdr:cNvSpPr/>
      </xdr:nvSpPr>
      <xdr:spPr>
        <a:xfrm>
          <a:off x="0" y="85725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1</xdr:col>
      <xdr:colOff>0</xdr:colOff>
      <xdr:row>53</xdr:row>
      <xdr:rowOff>104775</xdr:rowOff>
    </xdr:to>
    <xdr:sp>
      <xdr:nvSpPr>
        <xdr:cNvPr id="2098" name="Host Control  50"/>
        <xdr:cNvSpPr/>
      </xdr:nvSpPr>
      <xdr:spPr>
        <a:xfrm>
          <a:off x="0" y="87439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1</xdr:col>
      <xdr:colOff>0</xdr:colOff>
      <xdr:row>55</xdr:row>
      <xdr:rowOff>76200</xdr:rowOff>
    </xdr:to>
    <xdr:sp>
      <xdr:nvSpPr>
        <xdr:cNvPr id="2099" name="Host Control  51"/>
        <xdr:cNvSpPr/>
      </xdr:nvSpPr>
      <xdr:spPr>
        <a:xfrm>
          <a:off x="0" y="89154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1</xdr:col>
      <xdr:colOff>0</xdr:colOff>
      <xdr:row>56</xdr:row>
      <xdr:rowOff>85725</xdr:rowOff>
    </xdr:to>
    <xdr:sp>
      <xdr:nvSpPr>
        <xdr:cNvPr id="2100" name="Host Control  52"/>
        <xdr:cNvSpPr/>
      </xdr:nvSpPr>
      <xdr:spPr>
        <a:xfrm>
          <a:off x="0" y="908685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1</xdr:col>
      <xdr:colOff>0</xdr:colOff>
      <xdr:row>57</xdr:row>
      <xdr:rowOff>76200</xdr:rowOff>
    </xdr:to>
    <xdr:sp>
      <xdr:nvSpPr>
        <xdr:cNvPr id="2101" name="Host Control  53"/>
        <xdr:cNvSpPr/>
      </xdr:nvSpPr>
      <xdr:spPr>
        <a:xfrm>
          <a:off x="0" y="92583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1</xdr:col>
      <xdr:colOff>0</xdr:colOff>
      <xdr:row>57</xdr:row>
      <xdr:rowOff>104775</xdr:rowOff>
    </xdr:to>
    <xdr:sp>
      <xdr:nvSpPr>
        <xdr:cNvPr id="2102" name="Host Control  54"/>
        <xdr:cNvSpPr/>
      </xdr:nvSpPr>
      <xdr:spPr>
        <a:xfrm>
          <a:off x="0" y="94297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1</xdr:col>
      <xdr:colOff>0</xdr:colOff>
      <xdr:row>59</xdr:row>
      <xdr:rowOff>76200</xdr:rowOff>
    </xdr:to>
    <xdr:sp>
      <xdr:nvSpPr>
        <xdr:cNvPr id="2103" name="Host Control  55"/>
        <xdr:cNvSpPr/>
      </xdr:nvSpPr>
      <xdr:spPr>
        <a:xfrm>
          <a:off x="0" y="96012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1</xdr:col>
      <xdr:colOff>0</xdr:colOff>
      <xdr:row>59</xdr:row>
      <xdr:rowOff>104775</xdr:rowOff>
    </xdr:to>
    <xdr:sp>
      <xdr:nvSpPr>
        <xdr:cNvPr id="2104" name="Host Control  56"/>
        <xdr:cNvSpPr/>
      </xdr:nvSpPr>
      <xdr:spPr>
        <a:xfrm>
          <a:off x="0" y="97726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1</xdr:col>
      <xdr:colOff>0</xdr:colOff>
      <xdr:row>60</xdr:row>
      <xdr:rowOff>104775</xdr:rowOff>
    </xdr:to>
    <xdr:sp>
      <xdr:nvSpPr>
        <xdr:cNvPr id="2105" name="Host Control  57"/>
        <xdr:cNvSpPr/>
      </xdr:nvSpPr>
      <xdr:spPr>
        <a:xfrm>
          <a:off x="0" y="99441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1</xdr:col>
      <xdr:colOff>0</xdr:colOff>
      <xdr:row>61</xdr:row>
      <xdr:rowOff>114300</xdr:rowOff>
    </xdr:to>
    <xdr:sp>
      <xdr:nvSpPr>
        <xdr:cNvPr id="2106" name="Host Control  58"/>
        <xdr:cNvSpPr/>
      </xdr:nvSpPr>
      <xdr:spPr>
        <a:xfrm>
          <a:off x="0" y="1011555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1</xdr:col>
      <xdr:colOff>0</xdr:colOff>
      <xdr:row>62</xdr:row>
      <xdr:rowOff>104775</xdr:rowOff>
    </xdr:to>
    <xdr:sp>
      <xdr:nvSpPr>
        <xdr:cNvPr id="2107" name="Host Control  59"/>
        <xdr:cNvSpPr/>
      </xdr:nvSpPr>
      <xdr:spPr>
        <a:xfrm>
          <a:off x="0" y="102870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1</xdr:col>
      <xdr:colOff>0</xdr:colOff>
      <xdr:row>63</xdr:row>
      <xdr:rowOff>104775</xdr:rowOff>
    </xdr:to>
    <xdr:sp>
      <xdr:nvSpPr>
        <xdr:cNvPr id="2108" name="Host Control  60"/>
        <xdr:cNvSpPr/>
      </xdr:nvSpPr>
      <xdr:spPr>
        <a:xfrm>
          <a:off x="0" y="104584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1</xdr:col>
      <xdr:colOff>0</xdr:colOff>
      <xdr:row>64</xdr:row>
      <xdr:rowOff>104775</xdr:rowOff>
    </xdr:to>
    <xdr:sp>
      <xdr:nvSpPr>
        <xdr:cNvPr id="2109" name="Host Control  61"/>
        <xdr:cNvSpPr/>
      </xdr:nvSpPr>
      <xdr:spPr>
        <a:xfrm>
          <a:off x="0" y="106299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1</xdr:col>
      <xdr:colOff>0</xdr:colOff>
      <xdr:row>66</xdr:row>
      <xdr:rowOff>76200</xdr:rowOff>
    </xdr:to>
    <xdr:sp>
      <xdr:nvSpPr>
        <xdr:cNvPr id="2110" name="Host Control  62"/>
        <xdr:cNvSpPr/>
      </xdr:nvSpPr>
      <xdr:spPr>
        <a:xfrm>
          <a:off x="0" y="108013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1</xdr:col>
      <xdr:colOff>0</xdr:colOff>
      <xdr:row>66</xdr:row>
      <xdr:rowOff>104775</xdr:rowOff>
    </xdr:to>
    <xdr:sp>
      <xdr:nvSpPr>
        <xdr:cNvPr id="2111" name="Host Control  63"/>
        <xdr:cNvSpPr/>
      </xdr:nvSpPr>
      <xdr:spPr>
        <a:xfrm>
          <a:off x="0" y="109728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1</xdr:col>
      <xdr:colOff>0</xdr:colOff>
      <xdr:row>68</xdr:row>
      <xdr:rowOff>85725</xdr:rowOff>
    </xdr:to>
    <xdr:sp>
      <xdr:nvSpPr>
        <xdr:cNvPr id="2112" name="Host Control  64"/>
        <xdr:cNvSpPr/>
      </xdr:nvSpPr>
      <xdr:spPr>
        <a:xfrm>
          <a:off x="0" y="1114425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1</xdr:col>
      <xdr:colOff>0</xdr:colOff>
      <xdr:row>68</xdr:row>
      <xdr:rowOff>104775</xdr:rowOff>
    </xdr:to>
    <xdr:sp>
      <xdr:nvSpPr>
        <xdr:cNvPr id="2113" name="Host Control  65"/>
        <xdr:cNvSpPr/>
      </xdr:nvSpPr>
      <xdr:spPr>
        <a:xfrm>
          <a:off x="0" y="113157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1</xdr:col>
      <xdr:colOff>0</xdr:colOff>
      <xdr:row>69</xdr:row>
      <xdr:rowOff>104775</xdr:rowOff>
    </xdr:to>
    <xdr:sp>
      <xdr:nvSpPr>
        <xdr:cNvPr id="2114" name="Host Control  66"/>
        <xdr:cNvSpPr/>
      </xdr:nvSpPr>
      <xdr:spPr>
        <a:xfrm>
          <a:off x="0" y="114871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1</xdr:col>
      <xdr:colOff>0</xdr:colOff>
      <xdr:row>71</xdr:row>
      <xdr:rowOff>76200</xdr:rowOff>
    </xdr:to>
    <xdr:sp>
      <xdr:nvSpPr>
        <xdr:cNvPr id="2115" name="Host Control  67"/>
        <xdr:cNvSpPr/>
      </xdr:nvSpPr>
      <xdr:spPr>
        <a:xfrm>
          <a:off x="0" y="116586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1</xdr:col>
      <xdr:colOff>0</xdr:colOff>
      <xdr:row>71</xdr:row>
      <xdr:rowOff>104775</xdr:rowOff>
    </xdr:to>
    <xdr:sp>
      <xdr:nvSpPr>
        <xdr:cNvPr id="2116" name="Host Control  68"/>
        <xdr:cNvSpPr/>
      </xdr:nvSpPr>
      <xdr:spPr>
        <a:xfrm>
          <a:off x="0" y="118300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0</xdr:colOff>
      <xdr:row>72</xdr:row>
      <xdr:rowOff>104775</xdr:rowOff>
    </xdr:to>
    <xdr:sp>
      <xdr:nvSpPr>
        <xdr:cNvPr id="2117" name="Host Control  69"/>
        <xdr:cNvSpPr/>
      </xdr:nvSpPr>
      <xdr:spPr>
        <a:xfrm>
          <a:off x="0" y="120015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1</xdr:col>
      <xdr:colOff>0</xdr:colOff>
      <xdr:row>73</xdr:row>
      <xdr:rowOff>104775</xdr:rowOff>
    </xdr:to>
    <xdr:sp>
      <xdr:nvSpPr>
        <xdr:cNvPr id="2118" name="Host Control  70"/>
        <xdr:cNvSpPr/>
      </xdr:nvSpPr>
      <xdr:spPr>
        <a:xfrm>
          <a:off x="0" y="121729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1</xdr:col>
      <xdr:colOff>0</xdr:colOff>
      <xdr:row>74</xdr:row>
      <xdr:rowOff>104775</xdr:rowOff>
    </xdr:to>
    <xdr:sp>
      <xdr:nvSpPr>
        <xdr:cNvPr id="2119" name="Host Control  71"/>
        <xdr:cNvSpPr/>
      </xdr:nvSpPr>
      <xdr:spPr>
        <a:xfrm>
          <a:off x="0" y="123444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1</xdr:col>
      <xdr:colOff>0</xdr:colOff>
      <xdr:row>75</xdr:row>
      <xdr:rowOff>104775</xdr:rowOff>
    </xdr:to>
    <xdr:sp>
      <xdr:nvSpPr>
        <xdr:cNvPr id="2120" name="Host Control  72"/>
        <xdr:cNvSpPr/>
      </xdr:nvSpPr>
      <xdr:spPr>
        <a:xfrm>
          <a:off x="0" y="125158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1</xdr:col>
      <xdr:colOff>0</xdr:colOff>
      <xdr:row>77</xdr:row>
      <xdr:rowOff>85725</xdr:rowOff>
    </xdr:to>
    <xdr:sp>
      <xdr:nvSpPr>
        <xdr:cNvPr id="2121" name="Host Control  73"/>
        <xdr:cNvSpPr/>
      </xdr:nvSpPr>
      <xdr:spPr>
        <a:xfrm>
          <a:off x="0" y="1268730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1</xdr:col>
      <xdr:colOff>0</xdr:colOff>
      <xdr:row>77</xdr:row>
      <xdr:rowOff>104775</xdr:rowOff>
    </xdr:to>
    <xdr:sp>
      <xdr:nvSpPr>
        <xdr:cNvPr id="2122" name="Host Control  74"/>
        <xdr:cNvSpPr/>
      </xdr:nvSpPr>
      <xdr:spPr>
        <a:xfrm>
          <a:off x="0" y="128587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76</xdr:row>
      <xdr:rowOff>0</xdr:rowOff>
    </xdr:from>
    <xdr:to>
      <xdr:col>1</xdr:col>
      <xdr:colOff>0</xdr:colOff>
      <xdr:row>78</xdr:row>
      <xdr:rowOff>104775</xdr:rowOff>
    </xdr:to>
    <xdr:sp>
      <xdr:nvSpPr>
        <xdr:cNvPr id="2123" name="Host Control  75"/>
        <xdr:cNvSpPr/>
      </xdr:nvSpPr>
      <xdr:spPr>
        <a:xfrm>
          <a:off x="0" y="130302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1</xdr:col>
      <xdr:colOff>0</xdr:colOff>
      <xdr:row>79</xdr:row>
      <xdr:rowOff>114300</xdr:rowOff>
    </xdr:to>
    <xdr:sp>
      <xdr:nvSpPr>
        <xdr:cNvPr id="2124" name="Host Control  76"/>
        <xdr:cNvSpPr/>
      </xdr:nvSpPr>
      <xdr:spPr>
        <a:xfrm>
          <a:off x="0" y="1320165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78</xdr:row>
      <xdr:rowOff>0</xdr:rowOff>
    </xdr:from>
    <xdr:to>
      <xdr:col>1</xdr:col>
      <xdr:colOff>0</xdr:colOff>
      <xdr:row>81</xdr:row>
      <xdr:rowOff>76200</xdr:rowOff>
    </xdr:to>
    <xdr:sp>
      <xdr:nvSpPr>
        <xdr:cNvPr id="2125" name="Host Control  77"/>
        <xdr:cNvSpPr/>
      </xdr:nvSpPr>
      <xdr:spPr>
        <a:xfrm>
          <a:off x="0" y="133731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79</xdr:row>
      <xdr:rowOff>0</xdr:rowOff>
    </xdr:from>
    <xdr:to>
      <xdr:col>1</xdr:col>
      <xdr:colOff>0</xdr:colOff>
      <xdr:row>81</xdr:row>
      <xdr:rowOff>114300</xdr:rowOff>
    </xdr:to>
    <xdr:sp>
      <xdr:nvSpPr>
        <xdr:cNvPr id="2126" name="Host Control  78"/>
        <xdr:cNvSpPr/>
      </xdr:nvSpPr>
      <xdr:spPr>
        <a:xfrm>
          <a:off x="0" y="1354455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1</xdr:col>
      <xdr:colOff>0</xdr:colOff>
      <xdr:row>82</xdr:row>
      <xdr:rowOff>104775</xdr:rowOff>
    </xdr:to>
    <xdr:sp>
      <xdr:nvSpPr>
        <xdr:cNvPr id="2127" name="Host Control  79"/>
        <xdr:cNvSpPr/>
      </xdr:nvSpPr>
      <xdr:spPr>
        <a:xfrm>
          <a:off x="0" y="137160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1</xdr:col>
      <xdr:colOff>0</xdr:colOff>
      <xdr:row>84</xdr:row>
      <xdr:rowOff>76200</xdr:rowOff>
    </xdr:to>
    <xdr:sp>
      <xdr:nvSpPr>
        <xdr:cNvPr id="2128" name="Host Control  80"/>
        <xdr:cNvSpPr/>
      </xdr:nvSpPr>
      <xdr:spPr>
        <a:xfrm>
          <a:off x="0" y="138874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1</xdr:col>
      <xdr:colOff>0</xdr:colOff>
      <xdr:row>84</xdr:row>
      <xdr:rowOff>104775</xdr:rowOff>
    </xdr:to>
    <xdr:sp>
      <xdr:nvSpPr>
        <xdr:cNvPr id="2129" name="Host Control  81"/>
        <xdr:cNvSpPr/>
      </xdr:nvSpPr>
      <xdr:spPr>
        <a:xfrm>
          <a:off x="0" y="140589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1</xdr:col>
      <xdr:colOff>0</xdr:colOff>
      <xdr:row>85</xdr:row>
      <xdr:rowOff>104775</xdr:rowOff>
    </xdr:to>
    <xdr:sp>
      <xdr:nvSpPr>
        <xdr:cNvPr id="2130" name="Host Control  82"/>
        <xdr:cNvSpPr/>
      </xdr:nvSpPr>
      <xdr:spPr>
        <a:xfrm>
          <a:off x="0" y="142303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1</xdr:col>
      <xdr:colOff>0</xdr:colOff>
      <xdr:row>86</xdr:row>
      <xdr:rowOff>104775</xdr:rowOff>
    </xdr:to>
    <xdr:sp>
      <xdr:nvSpPr>
        <xdr:cNvPr id="2131" name="Host Control  83"/>
        <xdr:cNvSpPr/>
      </xdr:nvSpPr>
      <xdr:spPr>
        <a:xfrm>
          <a:off x="0" y="144018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1</xdr:col>
      <xdr:colOff>0</xdr:colOff>
      <xdr:row>87</xdr:row>
      <xdr:rowOff>104775</xdr:rowOff>
    </xdr:to>
    <xdr:sp>
      <xdr:nvSpPr>
        <xdr:cNvPr id="2132" name="Host Control  84"/>
        <xdr:cNvSpPr/>
      </xdr:nvSpPr>
      <xdr:spPr>
        <a:xfrm>
          <a:off x="0" y="145732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1</xdr:col>
      <xdr:colOff>0</xdr:colOff>
      <xdr:row>88</xdr:row>
      <xdr:rowOff>104775</xdr:rowOff>
    </xdr:to>
    <xdr:sp>
      <xdr:nvSpPr>
        <xdr:cNvPr id="2133" name="Host Control  85"/>
        <xdr:cNvSpPr/>
      </xdr:nvSpPr>
      <xdr:spPr>
        <a:xfrm>
          <a:off x="0" y="147447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1</xdr:col>
      <xdr:colOff>0</xdr:colOff>
      <xdr:row>89</xdr:row>
      <xdr:rowOff>104775</xdr:rowOff>
    </xdr:to>
    <xdr:sp>
      <xdr:nvSpPr>
        <xdr:cNvPr id="2134" name="Host Control  86"/>
        <xdr:cNvSpPr/>
      </xdr:nvSpPr>
      <xdr:spPr>
        <a:xfrm>
          <a:off x="0" y="149161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88</xdr:row>
      <xdr:rowOff>0</xdr:rowOff>
    </xdr:from>
    <xdr:to>
      <xdr:col>1</xdr:col>
      <xdr:colOff>0</xdr:colOff>
      <xdr:row>91</xdr:row>
      <xdr:rowOff>76200</xdr:rowOff>
    </xdr:to>
    <xdr:sp>
      <xdr:nvSpPr>
        <xdr:cNvPr id="2135" name="Host Control  87"/>
        <xdr:cNvSpPr/>
      </xdr:nvSpPr>
      <xdr:spPr>
        <a:xfrm>
          <a:off x="0" y="150876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1</xdr:col>
      <xdr:colOff>0</xdr:colOff>
      <xdr:row>92</xdr:row>
      <xdr:rowOff>76200</xdr:rowOff>
    </xdr:to>
    <xdr:sp>
      <xdr:nvSpPr>
        <xdr:cNvPr id="2136" name="Host Control  88"/>
        <xdr:cNvSpPr/>
      </xdr:nvSpPr>
      <xdr:spPr>
        <a:xfrm>
          <a:off x="0" y="152590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1</xdr:col>
      <xdr:colOff>0</xdr:colOff>
      <xdr:row>92</xdr:row>
      <xdr:rowOff>104775</xdr:rowOff>
    </xdr:to>
    <xdr:sp>
      <xdr:nvSpPr>
        <xdr:cNvPr id="2137" name="Host Control  89"/>
        <xdr:cNvSpPr/>
      </xdr:nvSpPr>
      <xdr:spPr>
        <a:xfrm>
          <a:off x="0" y="154305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1</xdr:col>
      <xdr:colOff>0</xdr:colOff>
      <xdr:row>94</xdr:row>
      <xdr:rowOff>95250</xdr:rowOff>
    </xdr:to>
    <xdr:sp>
      <xdr:nvSpPr>
        <xdr:cNvPr id="2138" name="Host Control  90"/>
        <xdr:cNvSpPr/>
      </xdr:nvSpPr>
      <xdr:spPr>
        <a:xfrm>
          <a:off x="0" y="15601950"/>
          <a:ext cx="685800" cy="6096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1</xdr:col>
      <xdr:colOff>0</xdr:colOff>
      <xdr:row>95</xdr:row>
      <xdr:rowOff>95250</xdr:rowOff>
    </xdr:to>
    <xdr:sp>
      <xdr:nvSpPr>
        <xdr:cNvPr id="2139" name="Host Control  91"/>
        <xdr:cNvSpPr/>
      </xdr:nvSpPr>
      <xdr:spPr>
        <a:xfrm>
          <a:off x="0" y="15773400"/>
          <a:ext cx="685800" cy="6096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1</xdr:col>
      <xdr:colOff>0</xdr:colOff>
      <xdr:row>95</xdr:row>
      <xdr:rowOff>104775</xdr:rowOff>
    </xdr:to>
    <xdr:sp>
      <xdr:nvSpPr>
        <xdr:cNvPr id="2140" name="Host Control  92"/>
        <xdr:cNvSpPr/>
      </xdr:nvSpPr>
      <xdr:spPr>
        <a:xfrm>
          <a:off x="0" y="159448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1</xdr:col>
      <xdr:colOff>0</xdr:colOff>
      <xdr:row>96</xdr:row>
      <xdr:rowOff>104775</xdr:rowOff>
    </xdr:to>
    <xdr:sp>
      <xdr:nvSpPr>
        <xdr:cNvPr id="2141" name="Host Control  93"/>
        <xdr:cNvSpPr/>
      </xdr:nvSpPr>
      <xdr:spPr>
        <a:xfrm>
          <a:off x="0" y="161163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1</xdr:col>
      <xdr:colOff>0</xdr:colOff>
      <xdr:row>97</xdr:row>
      <xdr:rowOff>104775</xdr:rowOff>
    </xdr:to>
    <xdr:sp>
      <xdr:nvSpPr>
        <xdr:cNvPr id="2142" name="Host Control  94"/>
        <xdr:cNvSpPr/>
      </xdr:nvSpPr>
      <xdr:spPr>
        <a:xfrm>
          <a:off x="0" y="162877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1</xdr:col>
      <xdr:colOff>0</xdr:colOff>
      <xdr:row>99</xdr:row>
      <xdr:rowOff>85725</xdr:rowOff>
    </xdr:to>
    <xdr:sp>
      <xdr:nvSpPr>
        <xdr:cNvPr id="2143" name="Host Control  95"/>
        <xdr:cNvSpPr/>
      </xdr:nvSpPr>
      <xdr:spPr>
        <a:xfrm>
          <a:off x="0" y="1645920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1</xdr:col>
      <xdr:colOff>0</xdr:colOff>
      <xdr:row>100</xdr:row>
      <xdr:rowOff>95250</xdr:rowOff>
    </xdr:to>
    <xdr:sp>
      <xdr:nvSpPr>
        <xdr:cNvPr id="2144" name="Host Control  96"/>
        <xdr:cNvSpPr/>
      </xdr:nvSpPr>
      <xdr:spPr>
        <a:xfrm>
          <a:off x="0" y="16630650"/>
          <a:ext cx="685800" cy="6096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1</xdr:col>
      <xdr:colOff>0</xdr:colOff>
      <xdr:row>100</xdr:row>
      <xdr:rowOff>104775</xdr:rowOff>
    </xdr:to>
    <xdr:sp>
      <xdr:nvSpPr>
        <xdr:cNvPr id="2145" name="Host Control  97"/>
        <xdr:cNvSpPr/>
      </xdr:nvSpPr>
      <xdr:spPr>
        <a:xfrm>
          <a:off x="0" y="168021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1</xdr:col>
      <xdr:colOff>0</xdr:colOff>
      <xdr:row>101</xdr:row>
      <xdr:rowOff>104775</xdr:rowOff>
    </xdr:to>
    <xdr:sp>
      <xdr:nvSpPr>
        <xdr:cNvPr id="2146" name="Host Control  98"/>
        <xdr:cNvSpPr/>
      </xdr:nvSpPr>
      <xdr:spPr>
        <a:xfrm>
          <a:off x="0" y="169735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1</xdr:col>
      <xdr:colOff>0</xdr:colOff>
      <xdr:row>102</xdr:row>
      <xdr:rowOff>104775</xdr:rowOff>
    </xdr:to>
    <xdr:sp>
      <xdr:nvSpPr>
        <xdr:cNvPr id="2147" name="Host Control  99"/>
        <xdr:cNvSpPr/>
      </xdr:nvSpPr>
      <xdr:spPr>
        <a:xfrm>
          <a:off x="0" y="171450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1</xdr:col>
      <xdr:colOff>0</xdr:colOff>
      <xdr:row>103</xdr:row>
      <xdr:rowOff>104775</xdr:rowOff>
    </xdr:to>
    <xdr:sp>
      <xdr:nvSpPr>
        <xdr:cNvPr id="2148" name="Host Control  100"/>
        <xdr:cNvSpPr/>
      </xdr:nvSpPr>
      <xdr:spPr>
        <a:xfrm>
          <a:off x="0" y="173164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1</xdr:col>
      <xdr:colOff>0</xdr:colOff>
      <xdr:row>105</xdr:row>
      <xdr:rowOff>76200</xdr:rowOff>
    </xdr:to>
    <xdr:sp>
      <xdr:nvSpPr>
        <xdr:cNvPr id="2149" name="Host Control  101"/>
        <xdr:cNvSpPr/>
      </xdr:nvSpPr>
      <xdr:spPr>
        <a:xfrm>
          <a:off x="0" y="174879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1</xdr:col>
      <xdr:colOff>0</xdr:colOff>
      <xdr:row>106</xdr:row>
      <xdr:rowOff>76200</xdr:rowOff>
    </xdr:to>
    <xdr:sp>
      <xdr:nvSpPr>
        <xdr:cNvPr id="2150" name="Host Control  102"/>
        <xdr:cNvSpPr/>
      </xdr:nvSpPr>
      <xdr:spPr>
        <a:xfrm>
          <a:off x="0" y="176593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1</xdr:col>
      <xdr:colOff>0</xdr:colOff>
      <xdr:row>107</xdr:row>
      <xdr:rowOff>76200</xdr:rowOff>
    </xdr:to>
    <xdr:sp>
      <xdr:nvSpPr>
        <xdr:cNvPr id="2151" name="Host Control  103"/>
        <xdr:cNvSpPr/>
      </xdr:nvSpPr>
      <xdr:spPr>
        <a:xfrm>
          <a:off x="0" y="178308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0</xdr:colOff>
      <xdr:row>107</xdr:row>
      <xdr:rowOff>104775</xdr:rowOff>
    </xdr:to>
    <xdr:sp>
      <xdr:nvSpPr>
        <xdr:cNvPr id="2152" name="Host Control  104"/>
        <xdr:cNvSpPr/>
      </xdr:nvSpPr>
      <xdr:spPr>
        <a:xfrm>
          <a:off x="0" y="180022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0</xdr:colOff>
      <xdr:row>108</xdr:row>
      <xdr:rowOff>104775</xdr:rowOff>
    </xdr:to>
    <xdr:sp>
      <xdr:nvSpPr>
        <xdr:cNvPr id="2153" name="Host Control  105"/>
        <xdr:cNvSpPr/>
      </xdr:nvSpPr>
      <xdr:spPr>
        <a:xfrm>
          <a:off x="0" y="181737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0</xdr:colOff>
      <xdr:row>109</xdr:row>
      <xdr:rowOff>104775</xdr:rowOff>
    </xdr:to>
    <xdr:sp>
      <xdr:nvSpPr>
        <xdr:cNvPr id="2154" name="Host Control  106"/>
        <xdr:cNvSpPr/>
      </xdr:nvSpPr>
      <xdr:spPr>
        <a:xfrm>
          <a:off x="0" y="183451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0</xdr:colOff>
      <xdr:row>110</xdr:row>
      <xdr:rowOff>104775</xdr:rowOff>
    </xdr:to>
    <xdr:sp>
      <xdr:nvSpPr>
        <xdr:cNvPr id="2155" name="Host Control  107"/>
        <xdr:cNvSpPr/>
      </xdr:nvSpPr>
      <xdr:spPr>
        <a:xfrm>
          <a:off x="0" y="185166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0</xdr:colOff>
      <xdr:row>112</xdr:row>
      <xdr:rowOff>76200</xdr:rowOff>
    </xdr:to>
    <xdr:sp>
      <xdr:nvSpPr>
        <xdr:cNvPr id="2156" name="Host Control  108"/>
        <xdr:cNvSpPr/>
      </xdr:nvSpPr>
      <xdr:spPr>
        <a:xfrm>
          <a:off x="0" y="186880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0</xdr:colOff>
      <xdr:row>113</xdr:row>
      <xdr:rowOff>76200</xdr:rowOff>
    </xdr:to>
    <xdr:sp>
      <xdr:nvSpPr>
        <xdr:cNvPr id="2157" name="Host Control  109"/>
        <xdr:cNvSpPr/>
      </xdr:nvSpPr>
      <xdr:spPr>
        <a:xfrm>
          <a:off x="0" y="188595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0</xdr:colOff>
      <xdr:row>114</xdr:row>
      <xdr:rowOff>76200</xdr:rowOff>
    </xdr:to>
    <xdr:sp>
      <xdr:nvSpPr>
        <xdr:cNvPr id="2158" name="Host Control  110"/>
        <xdr:cNvSpPr/>
      </xdr:nvSpPr>
      <xdr:spPr>
        <a:xfrm>
          <a:off x="0" y="190309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0</xdr:colOff>
      <xdr:row>114</xdr:row>
      <xdr:rowOff>104775</xdr:rowOff>
    </xdr:to>
    <xdr:sp>
      <xdr:nvSpPr>
        <xdr:cNvPr id="2159" name="Host Control  111"/>
        <xdr:cNvSpPr/>
      </xdr:nvSpPr>
      <xdr:spPr>
        <a:xfrm>
          <a:off x="0" y="192024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0</xdr:colOff>
      <xdr:row>116</xdr:row>
      <xdr:rowOff>76200</xdr:rowOff>
    </xdr:to>
    <xdr:sp>
      <xdr:nvSpPr>
        <xdr:cNvPr id="2160" name="Host Control  112"/>
        <xdr:cNvSpPr/>
      </xdr:nvSpPr>
      <xdr:spPr>
        <a:xfrm>
          <a:off x="0" y="193738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0</xdr:colOff>
      <xdr:row>116</xdr:row>
      <xdr:rowOff>104775</xdr:rowOff>
    </xdr:to>
    <xdr:sp>
      <xdr:nvSpPr>
        <xdr:cNvPr id="2161" name="Host Control  113"/>
        <xdr:cNvSpPr/>
      </xdr:nvSpPr>
      <xdr:spPr>
        <a:xfrm>
          <a:off x="0" y="195453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0</xdr:colOff>
      <xdr:row>117</xdr:row>
      <xdr:rowOff>104775</xdr:rowOff>
    </xdr:to>
    <xdr:sp>
      <xdr:nvSpPr>
        <xdr:cNvPr id="2162" name="Host Control  114"/>
        <xdr:cNvSpPr/>
      </xdr:nvSpPr>
      <xdr:spPr>
        <a:xfrm>
          <a:off x="0" y="197167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0</xdr:colOff>
      <xdr:row>118</xdr:row>
      <xdr:rowOff>104775</xdr:rowOff>
    </xdr:to>
    <xdr:sp>
      <xdr:nvSpPr>
        <xdr:cNvPr id="2163" name="Host Control  115"/>
        <xdr:cNvSpPr/>
      </xdr:nvSpPr>
      <xdr:spPr>
        <a:xfrm>
          <a:off x="0" y="198882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0</xdr:colOff>
      <xdr:row>119</xdr:row>
      <xdr:rowOff>104775</xdr:rowOff>
    </xdr:to>
    <xdr:sp>
      <xdr:nvSpPr>
        <xdr:cNvPr id="2164" name="Host Control  116"/>
        <xdr:cNvSpPr/>
      </xdr:nvSpPr>
      <xdr:spPr>
        <a:xfrm>
          <a:off x="0" y="200596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0</xdr:colOff>
      <xdr:row>120</xdr:row>
      <xdr:rowOff>104775</xdr:rowOff>
    </xdr:to>
    <xdr:sp>
      <xdr:nvSpPr>
        <xdr:cNvPr id="2165" name="Host Control  117"/>
        <xdr:cNvSpPr/>
      </xdr:nvSpPr>
      <xdr:spPr>
        <a:xfrm>
          <a:off x="0" y="202311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0</xdr:colOff>
      <xdr:row>121</xdr:row>
      <xdr:rowOff>114300</xdr:rowOff>
    </xdr:to>
    <xdr:sp>
      <xdr:nvSpPr>
        <xdr:cNvPr id="2166" name="Host Control  118"/>
        <xdr:cNvSpPr/>
      </xdr:nvSpPr>
      <xdr:spPr>
        <a:xfrm>
          <a:off x="0" y="2040255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0</xdr:colOff>
      <xdr:row>122</xdr:row>
      <xdr:rowOff>104775</xdr:rowOff>
    </xdr:to>
    <xdr:sp>
      <xdr:nvSpPr>
        <xdr:cNvPr id="2167" name="Host Control  119"/>
        <xdr:cNvSpPr/>
      </xdr:nvSpPr>
      <xdr:spPr>
        <a:xfrm>
          <a:off x="0" y="205740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0</xdr:colOff>
      <xdr:row>123</xdr:row>
      <xdr:rowOff>104775</xdr:rowOff>
    </xdr:to>
    <xdr:sp>
      <xdr:nvSpPr>
        <xdr:cNvPr id="2168" name="Host Control  120"/>
        <xdr:cNvSpPr/>
      </xdr:nvSpPr>
      <xdr:spPr>
        <a:xfrm>
          <a:off x="0" y="207454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0</xdr:colOff>
      <xdr:row>124</xdr:row>
      <xdr:rowOff>104775</xdr:rowOff>
    </xdr:to>
    <xdr:sp>
      <xdr:nvSpPr>
        <xdr:cNvPr id="2169" name="Host Control  121"/>
        <xdr:cNvSpPr/>
      </xdr:nvSpPr>
      <xdr:spPr>
        <a:xfrm>
          <a:off x="0" y="209169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0</xdr:colOff>
      <xdr:row>126</xdr:row>
      <xdr:rowOff>85725</xdr:rowOff>
    </xdr:to>
    <xdr:sp>
      <xdr:nvSpPr>
        <xdr:cNvPr id="2170" name="Host Control  122"/>
        <xdr:cNvSpPr/>
      </xdr:nvSpPr>
      <xdr:spPr>
        <a:xfrm>
          <a:off x="0" y="2108835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0</xdr:colOff>
      <xdr:row>126</xdr:row>
      <xdr:rowOff>104775</xdr:rowOff>
    </xdr:to>
    <xdr:sp>
      <xdr:nvSpPr>
        <xdr:cNvPr id="2171" name="Host Control  123"/>
        <xdr:cNvSpPr/>
      </xdr:nvSpPr>
      <xdr:spPr>
        <a:xfrm>
          <a:off x="0" y="212598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0</xdr:colOff>
      <xdr:row>127</xdr:row>
      <xdr:rowOff>104775</xdr:rowOff>
    </xdr:to>
    <xdr:sp>
      <xdr:nvSpPr>
        <xdr:cNvPr id="2172" name="Host Control  124"/>
        <xdr:cNvSpPr/>
      </xdr:nvSpPr>
      <xdr:spPr>
        <a:xfrm>
          <a:off x="0" y="214312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0</xdr:colOff>
      <xdr:row>129</xdr:row>
      <xdr:rowOff>76200</xdr:rowOff>
    </xdr:to>
    <xdr:sp>
      <xdr:nvSpPr>
        <xdr:cNvPr id="2173" name="Host Control  125"/>
        <xdr:cNvSpPr/>
      </xdr:nvSpPr>
      <xdr:spPr>
        <a:xfrm>
          <a:off x="0" y="216027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0</xdr:colOff>
      <xdr:row>129</xdr:row>
      <xdr:rowOff>104775</xdr:rowOff>
    </xdr:to>
    <xdr:sp>
      <xdr:nvSpPr>
        <xdr:cNvPr id="2174" name="Host Control  126"/>
        <xdr:cNvSpPr/>
      </xdr:nvSpPr>
      <xdr:spPr>
        <a:xfrm>
          <a:off x="0" y="217741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0</xdr:colOff>
      <xdr:row>130</xdr:row>
      <xdr:rowOff>104775</xdr:rowOff>
    </xdr:to>
    <xdr:sp>
      <xdr:nvSpPr>
        <xdr:cNvPr id="2175" name="Host Control  127"/>
        <xdr:cNvSpPr/>
      </xdr:nvSpPr>
      <xdr:spPr>
        <a:xfrm>
          <a:off x="0" y="219456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0</xdr:colOff>
      <xdr:row>131</xdr:row>
      <xdr:rowOff>114300</xdr:rowOff>
    </xdr:to>
    <xdr:sp>
      <xdr:nvSpPr>
        <xdr:cNvPr id="2176" name="Host Control  128"/>
        <xdr:cNvSpPr/>
      </xdr:nvSpPr>
      <xdr:spPr>
        <a:xfrm>
          <a:off x="0" y="2211705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0</xdr:colOff>
      <xdr:row>132</xdr:row>
      <xdr:rowOff>114300</xdr:rowOff>
    </xdr:to>
    <xdr:sp>
      <xdr:nvSpPr>
        <xdr:cNvPr id="2177" name="Host Control  129"/>
        <xdr:cNvSpPr/>
      </xdr:nvSpPr>
      <xdr:spPr>
        <a:xfrm>
          <a:off x="0" y="2228850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0</xdr:colOff>
      <xdr:row>133</xdr:row>
      <xdr:rowOff>104775</xdr:rowOff>
    </xdr:to>
    <xdr:sp>
      <xdr:nvSpPr>
        <xdr:cNvPr id="2178" name="Host Control  130"/>
        <xdr:cNvSpPr/>
      </xdr:nvSpPr>
      <xdr:spPr>
        <a:xfrm>
          <a:off x="0" y="224599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0</xdr:colOff>
      <xdr:row>134</xdr:row>
      <xdr:rowOff>104775</xdr:rowOff>
    </xdr:to>
    <xdr:sp>
      <xdr:nvSpPr>
        <xdr:cNvPr id="2179" name="Host Control  131"/>
        <xdr:cNvSpPr/>
      </xdr:nvSpPr>
      <xdr:spPr>
        <a:xfrm>
          <a:off x="0" y="226314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0</xdr:colOff>
      <xdr:row>135</xdr:row>
      <xdr:rowOff>114300</xdr:rowOff>
    </xdr:to>
    <xdr:sp>
      <xdr:nvSpPr>
        <xdr:cNvPr id="2180" name="Host Control  132"/>
        <xdr:cNvSpPr/>
      </xdr:nvSpPr>
      <xdr:spPr>
        <a:xfrm>
          <a:off x="0" y="2280285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0</xdr:colOff>
      <xdr:row>136</xdr:row>
      <xdr:rowOff>104775</xdr:rowOff>
    </xdr:to>
    <xdr:sp>
      <xdr:nvSpPr>
        <xdr:cNvPr id="2181" name="Host Control  133"/>
        <xdr:cNvSpPr/>
      </xdr:nvSpPr>
      <xdr:spPr>
        <a:xfrm>
          <a:off x="0" y="229743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0</xdr:colOff>
      <xdr:row>137</xdr:row>
      <xdr:rowOff>104775</xdr:rowOff>
    </xdr:to>
    <xdr:sp>
      <xdr:nvSpPr>
        <xdr:cNvPr id="2182" name="Host Control  134"/>
        <xdr:cNvSpPr/>
      </xdr:nvSpPr>
      <xdr:spPr>
        <a:xfrm>
          <a:off x="0" y="231457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0</xdr:colOff>
      <xdr:row>138</xdr:row>
      <xdr:rowOff>104775</xdr:rowOff>
    </xdr:to>
    <xdr:sp>
      <xdr:nvSpPr>
        <xdr:cNvPr id="2183" name="Host Control  135"/>
        <xdr:cNvSpPr/>
      </xdr:nvSpPr>
      <xdr:spPr>
        <a:xfrm>
          <a:off x="0" y="233172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0</xdr:colOff>
      <xdr:row>139</xdr:row>
      <xdr:rowOff>104775</xdr:rowOff>
    </xdr:to>
    <xdr:sp>
      <xdr:nvSpPr>
        <xdr:cNvPr id="2184" name="Host Control  136"/>
        <xdr:cNvSpPr/>
      </xdr:nvSpPr>
      <xdr:spPr>
        <a:xfrm>
          <a:off x="0" y="234886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0</xdr:colOff>
      <xdr:row>141</xdr:row>
      <xdr:rowOff>76200</xdr:rowOff>
    </xdr:to>
    <xdr:sp>
      <xdr:nvSpPr>
        <xdr:cNvPr id="2185" name="Host Control  137"/>
        <xdr:cNvSpPr/>
      </xdr:nvSpPr>
      <xdr:spPr>
        <a:xfrm>
          <a:off x="0" y="236601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0</xdr:colOff>
      <xdr:row>142</xdr:row>
      <xdr:rowOff>85725</xdr:rowOff>
    </xdr:to>
    <xdr:sp>
      <xdr:nvSpPr>
        <xdr:cNvPr id="2186" name="Host Control  138"/>
        <xdr:cNvSpPr/>
      </xdr:nvSpPr>
      <xdr:spPr>
        <a:xfrm>
          <a:off x="0" y="2383155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0</xdr:colOff>
      <xdr:row>142</xdr:row>
      <xdr:rowOff>104775</xdr:rowOff>
    </xdr:to>
    <xdr:sp>
      <xdr:nvSpPr>
        <xdr:cNvPr id="2187" name="Host Control  139"/>
        <xdr:cNvSpPr/>
      </xdr:nvSpPr>
      <xdr:spPr>
        <a:xfrm>
          <a:off x="0" y="240030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0</xdr:colOff>
      <xdr:row>143</xdr:row>
      <xdr:rowOff>104775</xdr:rowOff>
    </xdr:to>
    <xdr:sp>
      <xdr:nvSpPr>
        <xdr:cNvPr id="2188" name="Host Control  140"/>
        <xdr:cNvSpPr/>
      </xdr:nvSpPr>
      <xdr:spPr>
        <a:xfrm>
          <a:off x="0" y="241744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0</xdr:colOff>
      <xdr:row>144</xdr:row>
      <xdr:rowOff>104775</xdr:rowOff>
    </xdr:to>
    <xdr:sp>
      <xdr:nvSpPr>
        <xdr:cNvPr id="2189" name="Host Control  141"/>
        <xdr:cNvSpPr/>
      </xdr:nvSpPr>
      <xdr:spPr>
        <a:xfrm>
          <a:off x="0" y="243459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0</xdr:colOff>
      <xdr:row>145</xdr:row>
      <xdr:rowOff>104775</xdr:rowOff>
    </xdr:to>
    <xdr:sp>
      <xdr:nvSpPr>
        <xdr:cNvPr id="2190" name="Host Control  142"/>
        <xdr:cNvSpPr/>
      </xdr:nvSpPr>
      <xdr:spPr>
        <a:xfrm>
          <a:off x="0" y="245173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0</xdr:colOff>
      <xdr:row>147</xdr:row>
      <xdr:rowOff>76200</xdr:rowOff>
    </xdr:to>
    <xdr:sp>
      <xdr:nvSpPr>
        <xdr:cNvPr id="2191" name="Host Control  143"/>
        <xdr:cNvSpPr/>
      </xdr:nvSpPr>
      <xdr:spPr>
        <a:xfrm>
          <a:off x="0" y="246888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0</xdr:colOff>
      <xdr:row>148</xdr:row>
      <xdr:rowOff>85725</xdr:rowOff>
    </xdr:to>
    <xdr:sp>
      <xdr:nvSpPr>
        <xdr:cNvPr id="2192" name="Host Control  144"/>
        <xdr:cNvSpPr/>
      </xdr:nvSpPr>
      <xdr:spPr>
        <a:xfrm>
          <a:off x="0" y="2486025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0</xdr:colOff>
      <xdr:row>148</xdr:row>
      <xdr:rowOff>104775</xdr:rowOff>
    </xdr:to>
    <xdr:sp>
      <xdr:nvSpPr>
        <xdr:cNvPr id="2193" name="Host Control  145"/>
        <xdr:cNvSpPr/>
      </xdr:nvSpPr>
      <xdr:spPr>
        <a:xfrm>
          <a:off x="0" y="250317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0</xdr:colOff>
      <xdr:row>150</xdr:row>
      <xdr:rowOff>76200</xdr:rowOff>
    </xdr:to>
    <xdr:sp>
      <xdr:nvSpPr>
        <xdr:cNvPr id="2194" name="Host Control  146"/>
        <xdr:cNvSpPr/>
      </xdr:nvSpPr>
      <xdr:spPr>
        <a:xfrm>
          <a:off x="0" y="252031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0</xdr:colOff>
      <xdr:row>150</xdr:row>
      <xdr:rowOff>104775</xdr:rowOff>
    </xdr:to>
    <xdr:sp>
      <xdr:nvSpPr>
        <xdr:cNvPr id="2195" name="Host Control  147"/>
        <xdr:cNvSpPr/>
      </xdr:nvSpPr>
      <xdr:spPr>
        <a:xfrm>
          <a:off x="0" y="253746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0</xdr:colOff>
      <xdr:row>151</xdr:row>
      <xdr:rowOff>104775</xdr:rowOff>
    </xdr:to>
    <xdr:sp>
      <xdr:nvSpPr>
        <xdr:cNvPr id="2196" name="Host Control  148"/>
        <xdr:cNvSpPr/>
      </xdr:nvSpPr>
      <xdr:spPr>
        <a:xfrm>
          <a:off x="0" y="255460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0</xdr:colOff>
      <xdr:row>153</xdr:row>
      <xdr:rowOff>95250</xdr:rowOff>
    </xdr:to>
    <xdr:sp>
      <xdr:nvSpPr>
        <xdr:cNvPr id="2197" name="Host Control  149"/>
        <xdr:cNvSpPr/>
      </xdr:nvSpPr>
      <xdr:spPr>
        <a:xfrm>
          <a:off x="0" y="25717500"/>
          <a:ext cx="685800" cy="6096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0</xdr:colOff>
      <xdr:row>153</xdr:row>
      <xdr:rowOff>104775</xdr:rowOff>
    </xdr:to>
    <xdr:sp>
      <xdr:nvSpPr>
        <xdr:cNvPr id="2198" name="Host Control  150"/>
        <xdr:cNvSpPr/>
      </xdr:nvSpPr>
      <xdr:spPr>
        <a:xfrm>
          <a:off x="0" y="258889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0</xdr:colOff>
      <xdr:row>155</xdr:row>
      <xdr:rowOff>95250</xdr:rowOff>
    </xdr:to>
    <xdr:sp>
      <xdr:nvSpPr>
        <xdr:cNvPr id="2199" name="Host Control  151"/>
        <xdr:cNvSpPr/>
      </xdr:nvSpPr>
      <xdr:spPr>
        <a:xfrm>
          <a:off x="0" y="26060400"/>
          <a:ext cx="685800" cy="6096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0</xdr:colOff>
      <xdr:row>155</xdr:row>
      <xdr:rowOff>114300</xdr:rowOff>
    </xdr:to>
    <xdr:sp>
      <xdr:nvSpPr>
        <xdr:cNvPr id="2200" name="Host Control  152"/>
        <xdr:cNvSpPr/>
      </xdr:nvSpPr>
      <xdr:spPr>
        <a:xfrm>
          <a:off x="0" y="2623185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0</xdr:colOff>
      <xdr:row>156</xdr:row>
      <xdr:rowOff>114300</xdr:rowOff>
    </xdr:to>
    <xdr:sp>
      <xdr:nvSpPr>
        <xdr:cNvPr id="2201" name="Host Control  153"/>
        <xdr:cNvSpPr/>
      </xdr:nvSpPr>
      <xdr:spPr>
        <a:xfrm>
          <a:off x="0" y="2640330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0</xdr:colOff>
      <xdr:row>157</xdr:row>
      <xdr:rowOff>104775</xdr:rowOff>
    </xdr:to>
    <xdr:sp>
      <xdr:nvSpPr>
        <xdr:cNvPr id="2202" name="Host Control  154"/>
        <xdr:cNvSpPr/>
      </xdr:nvSpPr>
      <xdr:spPr>
        <a:xfrm>
          <a:off x="0" y="265747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0</xdr:colOff>
      <xdr:row>158</xdr:row>
      <xdr:rowOff>104775</xdr:rowOff>
    </xdr:to>
    <xdr:sp>
      <xdr:nvSpPr>
        <xdr:cNvPr id="2203" name="Host Control  155"/>
        <xdr:cNvSpPr/>
      </xdr:nvSpPr>
      <xdr:spPr>
        <a:xfrm>
          <a:off x="0" y="267462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0</xdr:colOff>
      <xdr:row>159</xdr:row>
      <xdr:rowOff>104775</xdr:rowOff>
    </xdr:to>
    <xdr:sp>
      <xdr:nvSpPr>
        <xdr:cNvPr id="2204" name="Host Control  156"/>
        <xdr:cNvSpPr/>
      </xdr:nvSpPr>
      <xdr:spPr>
        <a:xfrm>
          <a:off x="0" y="269176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0</xdr:colOff>
      <xdr:row>160</xdr:row>
      <xdr:rowOff>104775</xdr:rowOff>
    </xdr:to>
    <xdr:sp>
      <xdr:nvSpPr>
        <xdr:cNvPr id="2205" name="Host Control  157"/>
        <xdr:cNvSpPr/>
      </xdr:nvSpPr>
      <xdr:spPr>
        <a:xfrm>
          <a:off x="0" y="270891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0</xdr:colOff>
      <xdr:row>161</xdr:row>
      <xdr:rowOff>104775</xdr:rowOff>
    </xdr:to>
    <xdr:sp>
      <xdr:nvSpPr>
        <xdr:cNvPr id="2206" name="Host Control  158"/>
        <xdr:cNvSpPr/>
      </xdr:nvSpPr>
      <xdr:spPr>
        <a:xfrm>
          <a:off x="0" y="272605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0</xdr:colOff>
      <xdr:row>162</xdr:row>
      <xdr:rowOff>104775</xdr:rowOff>
    </xdr:to>
    <xdr:sp>
      <xdr:nvSpPr>
        <xdr:cNvPr id="2207" name="Host Control  159"/>
        <xdr:cNvSpPr/>
      </xdr:nvSpPr>
      <xdr:spPr>
        <a:xfrm>
          <a:off x="0" y="274320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0</xdr:colOff>
      <xdr:row>163</xdr:row>
      <xdr:rowOff>104775</xdr:rowOff>
    </xdr:to>
    <xdr:sp>
      <xdr:nvSpPr>
        <xdr:cNvPr id="2208" name="Host Control  160"/>
        <xdr:cNvSpPr/>
      </xdr:nvSpPr>
      <xdr:spPr>
        <a:xfrm>
          <a:off x="0" y="276034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0</xdr:colOff>
      <xdr:row>165</xdr:row>
      <xdr:rowOff>76200</xdr:rowOff>
    </xdr:to>
    <xdr:sp>
      <xdr:nvSpPr>
        <xdr:cNvPr id="2209" name="Host Control  161"/>
        <xdr:cNvSpPr/>
      </xdr:nvSpPr>
      <xdr:spPr>
        <a:xfrm>
          <a:off x="0" y="277749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0</xdr:colOff>
      <xdr:row>165</xdr:row>
      <xdr:rowOff>104775</xdr:rowOff>
    </xdr:to>
    <xdr:sp>
      <xdr:nvSpPr>
        <xdr:cNvPr id="2210" name="Host Control  162"/>
        <xdr:cNvSpPr/>
      </xdr:nvSpPr>
      <xdr:spPr>
        <a:xfrm>
          <a:off x="0" y="279463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0</xdr:colOff>
      <xdr:row>166</xdr:row>
      <xdr:rowOff>104775</xdr:rowOff>
    </xdr:to>
    <xdr:sp>
      <xdr:nvSpPr>
        <xdr:cNvPr id="2211" name="Host Control  163"/>
        <xdr:cNvSpPr/>
      </xdr:nvSpPr>
      <xdr:spPr>
        <a:xfrm>
          <a:off x="0" y="281178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0</xdr:colOff>
      <xdr:row>167</xdr:row>
      <xdr:rowOff>104775</xdr:rowOff>
    </xdr:to>
    <xdr:sp>
      <xdr:nvSpPr>
        <xdr:cNvPr id="2212" name="Host Control  164"/>
        <xdr:cNvSpPr/>
      </xdr:nvSpPr>
      <xdr:spPr>
        <a:xfrm>
          <a:off x="0" y="282892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0</xdr:colOff>
      <xdr:row>169</xdr:row>
      <xdr:rowOff>76200</xdr:rowOff>
    </xdr:to>
    <xdr:sp>
      <xdr:nvSpPr>
        <xdr:cNvPr id="2213" name="Host Control  165"/>
        <xdr:cNvSpPr/>
      </xdr:nvSpPr>
      <xdr:spPr>
        <a:xfrm>
          <a:off x="0" y="284607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0</xdr:colOff>
      <xdr:row>169</xdr:row>
      <xdr:rowOff>104775</xdr:rowOff>
    </xdr:to>
    <xdr:sp>
      <xdr:nvSpPr>
        <xdr:cNvPr id="2214" name="Host Control  166"/>
        <xdr:cNvSpPr/>
      </xdr:nvSpPr>
      <xdr:spPr>
        <a:xfrm>
          <a:off x="0" y="286321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0</xdr:colOff>
      <xdr:row>170</xdr:row>
      <xdr:rowOff>104775</xdr:rowOff>
    </xdr:to>
    <xdr:sp>
      <xdr:nvSpPr>
        <xdr:cNvPr id="2215" name="Host Control  167"/>
        <xdr:cNvSpPr/>
      </xdr:nvSpPr>
      <xdr:spPr>
        <a:xfrm>
          <a:off x="0" y="288036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0</xdr:colOff>
      <xdr:row>172</xdr:row>
      <xdr:rowOff>85725</xdr:rowOff>
    </xdr:to>
    <xdr:sp>
      <xdr:nvSpPr>
        <xdr:cNvPr id="2216" name="Host Control  168"/>
        <xdr:cNvSpPr/>
      </xdr:nvSpPr>
      <xdr:spPr>
        <a:xfrm>
          <a:off x="0" y="2897505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0</xdr:colOff>
      <xdr:row>173</xdr:row>
      <xdr:rowOff>76200</xdr:rowOff>
    </xdr:to>
    <xdr:sp>
      <xdr:nvSpPr>
        <xdr:cNvPr id="2217" name="Host Control  169"/>
        <xdr:cNvSpPr/>
      </xdr:nvSpPr>
      <xdr:spPr>
        <a:xfrm>
          <a:off x="0" y="291465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0</xdr:colOff>
      <xdr:row>173</xdr:row>
      <xdr:rowOff>104775</xdr:rowOff>
    </xdr:to>
    <xdr:sp>
      <xdr:nvSpPr>
        <xdr:cNvPr id="2218" name="Host Control  170"/>
        <xdr:cNvSpPr/>
      </xdr:nvSpPr>
      <xdr:spPr>
        <a:xfrm>
          <a:off x="0" y="293179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0</xdr:colOff>
      <xdr:row>175</xdr:row>
      <xdr:rowOff>76200</xdr:rowOff>
    </xdr:to>
    <xdr:sp>
      <xdr:nvSpPr>
        <xdr:cNvPr id="2219" name="Host Control  171"/>
        <xdr:cNvSpPr/>
      </xdr:nvSpPr>
      <xdr:spPr>
        <a:xfrm>
          <a:off x="0" y="294894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0</xdr:colOff>
      <xdr:row>176</xdr:row>
      <xdr:rowOff>76200</xdr:rowOff>
    </xdr:to>
    <xdr:sp>
      <xdr:nvSpPr>
        <xdr:cNvPr id="2220" name="Host Control  172"/>
        <xdr:cNvSpPr/>
      </xdr:nvSpPr>
      <xdr:spPr>
        <a:xfrm>
          <a:off x="0" y="296608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0</xdr:colOff>
      <xdr:row>176</xdr:row>
      <xdr:rowOff>104775</xdr:rowOff>
    </xdr:to>
    <xdr:sp>
      <xdr:nvSpPr>
        <xdr:cNvPr id="2221" name="Host Control  173"/>
        <xdr:cNvSpPr/>
      </xdr:nvSpPr>
      <xdr:spPr>
        <a:xfrm>
          <a:off x="0" y="298323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0</xdr:colOff>
      <xdr:row>177</xdr:row>
      <xdr:rowOff>104775</xdr:rowOff>
    </xdr:to>
    <xdr:sp>
      <xdr:nvSpPr>
        <xdr:cNvPr id="2222" name="Host Control  174"/>
        <xdr:cNvSpPr/>
      </xdr:nvSpPr>
      <xdr:spPr>
        <a:xfrm>
          <a:off x="0" y="300037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0</xdr:colOff>
      <xdr:row>179</xdr:row>
      <xdr:rowOff>76200</xdr:rowOff>
    </xdr:to>
    <xdr:sp>
      <xdr:nvSpPr>
        <xdr:cNvPr id="2223" name="Host Control  175"/>
        <xdr:cNvSpPr/>
      </xdr:nvSpPr>
      <xdr:spPr>
        <a:xfrm>
          <a:off x="0" y="301752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0</xdr:colOff>
      <xdr:row>179</xdr:row>
      <xdr:rowOff>104775</xdr:rowOff>
    </xdr:to>
    <xdr:sp>
      <xdr:nvSpPr>
        <xdr:cNvPr id="2224" name="Host Control  176"/>
        <xdr:cNvSpPr/>
      </xdr:nvSpPr>
      <xdr:spPr>
        <a:xfrm>
          <a:off x="0" y="303466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0</xdr:colOff>
      <xdr:row>181</xdr:row>
      <xdr:rowOff>76200</xdr:rowOff>
    </xdr:to>
    <xdr:sp>
      <xdr:nvSpPr>
        <xdr:cNvPr id="2225" name="Host Control  177"/>
        <xdr:cNvSpPr/>
      </xdr:nvSpPr>
      <xdr:spPr>
        <a:xfrm>
          <a:off x="0" y="305181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0</xdr:colOff>
      <xdr:row>181</xdr:row>
      <xdr:rowOff>104775</xdr:rowOff>
    </xdr:to>
    <xdr:sp>
      <xdr:nvSpPr>
        <xdr:cNvPr id="2226" name="Host Control  178"/>
        <xdr:cNvSpPr/>
      </xdr:nvSpPr>
      <xdr:spPr>
        <a:xfrm>
          <a:off x="0" y="306895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0</xdr:colOff>
      <xdr:row>182</xdr:row>
      <xdr:rowOff>104775</xdr:rowOff>
    </xdr:to>
    <xdr:sp>
      <xdr:nvSpPr>
        <xdr:cNvPr id="2227" name="Host Control  179"/>
        <xdr:cNvSpPr/>
      </xdr:nvSpPr>
      <xdr:spPr>
        <a:xfrm>
          <a:off x="0" y="308610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0</xdr:colOff>
      <xdr:row>184</xdr:row>
      <xdr:rowOff>85725</xdr:rowOff>
    </xdr:to>
    <xdr:sp>
      <xdr:nvSpPr>
        <xdr:cNvPr id="2228" name="Host Control  180"/>
        <xdr:cNvSpPr/>
      </xdr:nvSpPr>
      <xdr:spPr>
        <a:xfrm>
          <a:off x="0" y="3103245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0</xdr:colOff>
      <xdr:row>185</xdr:row>
      <xdr:rowOff>76200</xdr:rowOff>
    </xdr:to>
    <xdr:sp>
      <xdr:nvSpPr>
        <xdr:cNvPr id="2229" name="Host Control  181"/>
        <xdr:cNvSpPr/>
      </xdr:nvSpPr>
      <xdr:spPr>
        <a:xfrm>
          <a:off x="0" y="312039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0</xdr:colOff>
      <xdr:row>185</xdr:row>
      <xdr:rowOff>104775</xdr:rowOff>
    </xdr:to>
    <xdr:sp>
      <xdr:nvSpPr>
        <xdr:cNvPr id="2230" name="Host Control  182"/>
        <xdr:cNvSpPr/>
      </xdr:nvSpPr>
      <xdr:spPr>
        <a:xfrm>
          <a:off x="0" y="313753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0</xdr:colOff>
      <xdr:row>186</xdr:row>
      <xdr:rowOff>104775</xdr:rowOff>
    </xdr:to>
    <xdr:sp>
      <xdr:nvSpPr>
        <xdr:cNvPr id="2231" name="Host Control  183"/>
        <xdr:cNvSpPr/>
      </xdr:nvSpPr>
      <xdr:spPr>
        <a:xfrm>
          <a:off x="0" y="315468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0</xdr:colOff>
      <xdr:row>188</xdr:row>
      <xdr:rowOff>76200</xdr:rowOff>
    </xdr:to>
    <xdr:sp>
      <xdr:nvSpPr>
        <xdr:cNvPr id="2232" name="Host Control  184"/>
        <xdr:cNvSpPr/>
      </xdr:nvSpPr>
      <xdr:spPr>
        <a:xfrm>
          <a:off x="0" y="317182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0</xdr:colOff>
      <xdr:row>188</xdr:row>
      <xdr:rowOff>104775</xdr:rowOff>
    </xdr:to>
    <xdr:sp>
      <xdr:nvSpPr>
        <xdr:cNvPr id="2233" name="Host Control  185"/>
        <xdr:cNvSpPr/>
      </xdr:nvSpPr>
      <xdr:spPr>
        <a:xfrm>
          <a:off x="0" y="318897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0</xdr:colOff>
      <xdr:row>189</xdr:row>
      <xdr:rowOff>104775</xdr:rowOff>
    </xdr:to>
    <xdr:sp>
      <xdr:nvSpPr>
        <xdr:cNvPr id="2234" name="Host Control  186"/>
        <xdr:cNvSpPr/>
      </xdr:nvSpPr>
      <xdr:spPr>
        <a:xfrm>
          <a:off x="0" y="320611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0</xdr:colOff>
      <xdr:row>190</xdr:row>
      <xdr:rowOff>104775</xdr:rowOff>
    </xdr:to>
    <xdr:sp>
      <xdr:nvSpPr>
        <xdr:cNvPr id="2235" name="Host Control  187"/>
        <xdr:cNvSpPr/>
      </xdr:nvSpPr>
      <xdr:spPr>
        <a:xfrm>
          <a:off x="0" y="322326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1</xdr:col>
      <xdr:colOff>0</xdr:colOff>
      <xdr:row>191</xdr:row>
      <xdr:rowOff>104775</xdr:rowOff>
    </xdr:to>
    <xdr:sp>
      <xdr:nvSpPr>
        <xdr:cNvPr id="2236" name="Host Control  188"/>
        <xdr:cNvSpPr/>
      </xdr:nvSpPr>
      <xdr:spPr>
        <a:xfrm>
          <a:off x="0" y="324040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0</xdr:colOff>
      <xdr:row>192</xdr:row>
      <xdr:rowOff>104775</xdr:rowOff>
    </xdr:to>
    <xdr:sp>
      <xdr:nvSpPr>
        <xdr:cNvPr id="2237" name="Host Control  189"/>
        <xdr:cNvSpPr/>
      </xdr:nvSpPr>
      <xdr:spPr>
        <a:xfrm>
          <a:off x="0" y="325755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0</xdr:colOff>
      <xdr:row>193</xdr:row>
      <xdr:rowOff>104775</xdr:rowOff>
    </xdr:to>
    <xdr:sp>
      <xdr:nvSpPr>
        <xdr:cNvPr id="2238" name="Host Control  190"/>
        <xdr:cNvSpPr/>
      </xdr:nvSpPr>
      <xdr:spPr>
        <a:xfrm>
          <a:off x="0" y="327469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0</xdr:colOff>
      <xdr:row>194</xdr:row>
      <xdr:rowOff>104775</xdr:rowOff>
    </xdr:to>
    <xdr:sp>
      <xdr:nvSpPr>
        <xdr:cNvPr id="2239" name="Host Control  191"/>
        <xdr:cNvSpPr/>
      </xdr:nvSpPr>
      <xdr:spPr>
        <a:xfrm>
          <a:off x="0" y="329184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193</xdr:row>
      <xdr:rowOff>0</xdr:rowOff>
    </xdr:from>
    <xdr:to>
      <xdr:col>1</xdr:col>
      <xdr:colOff>0</xdr:colOff>
      <xdr:row>196</xdr:row>
      <xdr:rowOff>76200</xdr:rowOff>
    </xdr:to>
    <xdr:sp>
      <xdr:nvSpPr>
        <xdr:cNvPr id="2240" name="Host Control  192"/>
        <xdr:cNvSpPr/>
      </xdr:nvSpPr>
      <xdr:spPr>
        <a:xfrm>
          <a:off x="0" y="330898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194</xdr:row>
      <xdr:rowOff>0</xdr:rowOff>
    </xdr:from>
    <xdr:to>
      <xdr:col>1</xdr:col>
      <xdr:colOff>0</xdr:colOff>
      <xdr:row>197</xdr:row>
      <xdr:rowOff>76200</xdr:rowOff>
    </xdr:to>
    <xdr:sp>
      <xdr:nvSpPr>
        <xdr:cNvPr id="2241" name="Host Control  193"/>
        <xdr:cNvSpPr/>
      </xdr:nvSpPr>
      <xdr:spPr>
        <a:xfrm>
          <a:off x="0" y="332613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1</xdr:col>
      <xdr:colOff>0</xdr:colOff>
      <xdr:row>197</xdr:row>
      <xdr:rowOff>104775</xdr:rowOff>
    </xdr:to>
    <xdr:sp>
      <xdr:nvSpPr>
        <xdr:cNvPr id="2242" name="Host Control  194"/>
        <xdr:cNvSpPr/>
      </xdr:nvSpPr>
      <xdr:spPr>
        <a:xfrm>
          <a:off x="0" y="334327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1</xdr:col>
      <xdr:colOff>0</xdr:colOff>
      <xdr:row>198</xdr:row>
      <xdr:rowOff>104775</xdr:rowOff>
    </xdr:to>
    <xdr:sp>
      <xdr:nvSpPr>
        <xdr:cNvPr id="2243" name="Host Control  195"/>
        <xdr:cNvSpPr/>
      </xdr:nvSpPr>
      <xdr:spPr>
        <a:xfrm>
          <a:off x="0" y="336042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197</xdr:row>
      <xdr:rowOff>0</xdr:rowOff>
    </xdr:from>
    <xdr:to>
      <xdr:col>1</xdr:col>
      <xdr:colOff>0</xdr:colOff>
      <xdr:row>199</xdr:row>
      <xdr:rowOff>104775</xdr:rowOff>
    </xdr:to>
    <xdr:sp>
      <xdr:nvSpPr>
        <xdr:cNvPr id="2244" name="Host Control  196"/>
        <xdr:cNvSpPr/>
      </xdr:nvSpPr>
      <xdr:spPr>
        <a:xfrm>
          <a:off x="0" y="337756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198</xdr:row>
      <xdr:rowOff>0</xdr:rowOff>
    </xdr:from>
    <xdr:to>
      <xdr:col>1</xdr:col>
      <xdr:colOff>0</xdr:colOff>
      <xdr:row>200</xdr:row>
      <xdr:rowOff>104775</xdr:rowOff>
    </xdr:to>
    <xdr:sp>
      <xdr:nvSpPr>
        <xdr:cNvPr id="2245" name="Host Control  197"/>
        <xdr:cNvSpPr/>
      </xdr:nvSpPr>
      <xdr:spPr>
        <a:xfrm>
          <a:off x="0" y="339471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199</xdr:row>
      <xdr:rowOff>0</xdr:rowOff>
    </xdr:from>
    <xdr:to>
      <xdr:col>1</xdr:col>
      <xdr:colOff>0</xdr:colOff>
      <xdr:row>202</xdr:row>
      <xdr:rowOff>76200</xdr:rowOff>
    </xdr:to>
    <xdr:sp>
      <xdr:nvSpPr>
        <xdr:cNvPr id="2246" name="Host Control  198"/>
        <xdr:cNvSpPr/>
      </xdr:nvSpPr>
      <xdr:spPr>
        <a:xfrm>
          <a:off x="0" y="341185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1</xdr:col>
      <xdr:colOff>0</xdr:colOff>
      <xdr:row>202</xdr:row>
      <xdr:rowOff>104775</xdr:rowOff>
    </xdr:to>
    <xdr:sp>
      <xdr:nvSpPr>
        <xdr:cNvPr id="2247" name="Host Control  199"/>
        <xdr:cNvSpPr/>
      </xdr:nvSpPr>
      <xdr:spPr>
        <a:xfrm>
          <a:off x="0" y="342900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201</xdr:row>
      <xdr:rowOff>0</xdr:rowOff>
    </xdr:from>
    <xdr:to>
      <xdr:col>1</xdr:col>
      <xdr:colOff>0</xdr:colOff>
      <xdr:row>204</xdr:row>
      <xdr:rowOff>76200</xdr:rowOff>
    </xdr:to>
    <xdr:sp>
      <xdr:nvSpPr>
        <xdr:cNvPr id="2248" name="Host Control  200"/>
        <xdr:cNvSpPr/>
      </xdr:nvSpPr>
      <xdr:spPr>
        <a:xfrm>
          <a:off x="0" y="344614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202</xdr:row>
      <xdr:rowOff>0</xdr:rowOff>
    </xdr:from>
    <xdr:to>
      <xdr:col>1</xdr:col>
      <xdr:colOff>0</xdr:colOff>
      <xdr:row>204</xdr:row>
      <xdr:rowOff>104775</xdr:rowOff>
    </xdr:to>
    <xdr:sp>
      <xdr:nvSpPr>
        <xdr:cNvPr id="2249" name="Host Control  201"/>
        <xdr:cNvSpPr/>
      </xdr:nvSpPr>
      <xdr:spPr>
        <a:xfrm>
          <a:off x="0" y="346329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1</xdr:col>
      <xdr:colOff>0</xdr:colOff>
      <xdr:row>205</xdr:row>
      <xdr:rowOff>104775</xdr:rowOff>
    </xdr:to>
    <xdr:sp>
      <xdr:nvSpPr>
        <xdr:cNvPr id="2250" name="Host Control  202"/>
        <xdr:cNvSpPr/>
      </xdr:nvSpPr>
      <xdr:spPr>
        <a:xfrm>
          <a:off x="0" y="348043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204</xdr:row>
      <xdr:rowOff>0</xdr:rowOff>
    </xdr:from>
    <xdr:to>
      <xdr:col>1</xdr:col>
      <xdr:colOff>0</xdr:colOff>
      <xdr:row>206</xdr:row>
      <xdr:rowOff>104775</xdr:rowOff>
    </xdr:to>
    <xdr:sp>
      <xdr:nvSpPr>
        <xdr:cNvPr id="2251" name="Host Control  203"/>
        <xdr:cNvSpPr/>
      </xdr:nvSpPr>
      <xdr:spPr>
        <a:xfrm>
          <a:off x="0" y="349758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1</xdr:col>
      <xdr:colOff>0</xdr:colOff>
      <xdr:row>207</xdr:row>
      <xdr:rowOff>114300</xdr:rowOff>
    </xdr:to>
    <xdr:sp>
      <xdr:nvSpPr>
        <xdr:cNvPr id="2252" name="Host Control  204"/>
        <xdr:cNvSpPr/>
      </xdr:nvSpPr>
      <xdr:spPr>
        <a:xfrm>
          <a:off x="0" y="3514725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206</xdr:row>
      <xdr:rowOff>0</xdr:rowOff>
    </xdr:from>
    <xdr:to>
      <xdr:col>1</xdr:col>
      <xdr:colOff>0</xdr:colOff>
      <xdr:row>209</xdr:row>
      <xdr:rowOff>76200</xdr:rowOff>
    </xdr:to>
    <xdr:sp>
      <xdr:nvSpPr>
        <xdr:cNvPr id="2253" name="Host Control  205"/>
        <xdr:cNvSpPr/>
      </xdr:nvSpPr>
      <xdr:spPr>
        <a:xfrm>
          <a:off x="0" y="353187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207</xdr:row>
      <xdr:rowOff>0</xdr:rowOff>
    </xdr:from>
    <xdr:to>
      <xdr:col>1</xdr:col>
      <xdr:colOff>0</xdr:colOff>
      <xdr:row>209</xdr:row>
      <xdr:rowOff>104775</xdr:rowOff>
    </xdr:to>
    <xdr:sp>
      <xdr:nvSpPr>
        <xdr:cNvPr id="2254" name="Host Control  206"/>
        <xdr:cNvSpPr/>
      </xdr:nvSpPr>
      <xdr:spPr>
        <a:xfrm>
          <a:off x="0" y="354901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208</xdr:row>
      <xdr:rowOff>0</xdr:rowOff>
    </xdr:from>
    <xdr:to>
      <xdr:col>1</xdr:col>
      <xdr:colOff>0</xdr:colOff>
      <xdr:row>210</xdr:row>
      <xdr:rowOff>104775</xdr:rowOff>
    </xdr:to>
    <xdr:sp>
      <xdr:nvSpPr>
        <xdr:cNvPr id="2255" name="Host Control  207"/>
        <xdr:cNvSpPr/>
      </xdr:nvSpPr>
      <xdr:spPr>
        <a:xfrm>
          <a:off x="0" y="356616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209</xdr:row>
      <xdr:rowOff>0</xdr:rowOff>
    </xdr:from>
    <xdr:to>
      <xdr:col>1</xdr:col>
      <xdr:colOff>0</xdr:colOff>
      <xdr:row>211</xdr:row>
      <xdr:rowOff>104775</xdr:rowOff>
    </xdr:to>
    <xdr:sp>
      <xdr:nvSpPr>
        <xdr:cNvPr id="2256" name="Host Control  208"/>
        <xdr:cNvSpPr/>
      </xdr:nvSpPr>
      <xdr:spPr>
        <a:xfrm>
          <a:off x="0" y="358330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1</xdr:col>
      <xdr:colOff>0</xdr:colOff>
      <xdr:row>213</xdr:row>
      <xdr:rowOff>95250</xdr:rowOff>
    </xdr:to>
    <xdr:sp>
      <xdr:nvSpPr>
        <xdr:cNvPr id="2257" name="Host Control  209"/>
        <xdr:cNvSpPr/>
      </xdr:nvSpPr>
      <xdr:spPr>
        <a:xfrm>
          <a:off x="0" y="36004500"/>
          <a:ext cx="685800" cy="6096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1</xdr:col>
      <xdr:colOff>0</xdr:colOff>
      <xdr:row>213</xdr:row>
      <xdr:rowOff>104775</xdr:rowOff>
    </xdr:to>
    <xdr:sp>
      <xdr:nvSpPr>
        <xdr:cNvPr id="2258" name="Host Control  210"/>
        <xdr:cNvSpPr/>
      </xdr:nvSpPr>
      <xdr:spPr>
        <a:xfrm>
          <a:off x="0" y="361759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212</xdr:row>
      <xdr:rowOff>0</xdr:rowOff>
    </xdr:from>
    <xdr:to>
      <xdr:col>1</xdr:col>
      <xdr:colOff>0</xdr:colOff>
      <xdr:row>214</xdr:row>
      <xdr:rowOff>104775</xdr:rowOff>
    </xdr:to>
    <xdr:sp>
      <xdr:nvSpPr>
        <xdr:cNvPr id="2259" name="Host Control  211"/>
        <xdr:cNvSpPr/>
      </xdr:nvSpPr>
      <xdr:spPr>
        <a:xfrm>
          <a:off x="0" y="363474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213</xdr:row>
      <xdr:rowOff>0</xdr:rowOff>
    </xdr:from>
    <xdr:to>
      <xdr:col>1</xdr:col>
      <xdr:colOff>0</xdr:colOff>
      <xdr:row>216</xdr:row>
      <xdr:rowOff>76200</xdr:rowOff>
    </xdr:to>
    <xdr:sp>
      <xdr:nvSpPr>
        <xdr:cNvPr id="2260" name="Host Control  212"/>
        <xdr:cNvSpPr/>
      </xdr:nvSpPr>
      <xdr:spPr>
        <a:xfrm>
          <a:off x="0" y="365188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214</xdr:row>
      <xdr:rowOff>0</xdr:rowOff>
    </xdr:from>
    <xdr:to>
      <xdr:col>1</xdr:col>
      <xdr:colOff>0</xdr:colOff>
      <xdr:row>216</xdr:row>
      <xdr:rowOff>104775</xdr:rowOff>
    </xdr:to>
    <xdr:sp>
      <xdr:nvSpPr>
        <xdr:cNvPr id="2261" name="Host Control  213"/>
        <xdr:cNvSpPr/>
      </xdr:nvSpPr>
      <xdr:spPr>
        <a:xfrm>
          <a:off x="0" y="366903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1</xdr:col>
      <xdr:colOff>0</xdr:colOff>
      <xdr:row>218</xdr:row>
      <xdr:rowOff>76200</xdr:rowOff>
    </xdr:to>
    <xdr:sp>
      <xdr:nvSpPr>
        <xdr:cNvPr id="2262" name="Host Control  214"/>
        <xdr:cNvSpPr/>
      </xdr:nvSpPr>
      <xdr:spPr>
        <a:xfrm>
          <a:off x="0" y="368617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216</xdr:row>
      <xdr:rowOff>0</xdr:rowOff>
    </xdr:from>
    <xdr:to>
      <xdr:col>1</xdr:col>
      <xdr:colOff>0</xdr:colOff>
      <xdr:row>218</xdr:row>
      <xdr:rowOff>104775</xdr:rowOff>
    </xdr:to>
    <xdr:sp>
      <xdr:nvSpPr>
        <xdr:cNvPr id="2263" name="Host Control  215"/>
        <xdr:cNvSpPr/>
      </xdr:nvSpPr>
      <xdr:spPr>
        <a:xfrm>
          <a:off x="0" y="370332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217</xdr:row>
      <xdr:rowOff>0</xdr:rowOff>
    </xdr:from>
    <xdr:to>
      <xdr:col>1</xdr:col>
      <xdr:colOff>0</xdr:colOff>
      <xdr:row>219</xdr:row>
      <xdr:rowOff>104775</xdr:rowOff>
    </xdr:to>
    <xdr:sp>
      <xdr:nvSpPr>
        <xdr:cNvPr id="2264" name="Host Control  216"/>
        <xdr:cNvSpPr/>
      </xdr:nvSpPr>
      <xdr:spPr>
        <a:xfrm>
          <a:off x="0" y="372046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218</xdr:row>
      <xdr:rowOff>0</xdr:rowOff>
    </xdr:from>
    <xdr:to>
      <xdr:col>1</xdr:col>
      <xdr:colOff>0</xdr:colOff>
      <xdr:row>220</xdr:row>
      <xdr:rowOff>104775</xdr:rowOff>
    </xdr:to>
    <xdr:sp>
      <xdr:nvSpPr>
        <xdr:cNvPr id="2265" name="Host Control  217"/>
        <xdr:cNvSpPr/>
      </xdr:nvSpPr>
      <xdr:spPr>
        <a:xfrm>
          <a:off x="0" y="373761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219</xdr:row>
      <xdr:rowOff>0</xdr:rowOff>
    </xdr:from>
    <xdr:to>
      <xdr:col>1</xdr:col>
      <xdr:colOff>0</xdr:colOff>
      <xdr:row>221</xdr:row>
      <xdr:rowOff>104775</xdr:rowOff>
    </xdr:to>
    <xdr:sp>
      <xdr:nvSpPr>
        <xdr:cNvPr id="2266" name="Host Control  218"/>
        <xdr:cNvSpPr/>
      </xdr:nvSpPr>
      <xdr:spPr>
        <a:xfrm>
          <a:off x="0" y="375475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1</xdr:col>
      <xdr:colOff>0</xdr:colOff>
      <xdr:row>223</xdr:row>
      <xdr:rowOff>76200</xdr:rowOff>
    </xdr:to>
    <xdr:sp>
      <xdr:nvSpPr>
        <xdr:cNvPr id="2267" name="Host Control  219"/>
        <xdr:cNvSpPr/>
      </xdr:nvSpPr>
      <xdr:spPr>
        <a:xfrm>
          <a:off x="0" y="377190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221</xdr:row>
      <xdr:rowOff>0</xdr:rowOff>
    </xdr:from>
    <xdr:to>
      <xdr:col>1</xdr:col>
      <xdr:colOff>0</xdr:colOff>
      <xdr:row>224</xdr:row>
      <xdr:rowOff>76200</xdr:rowOff>
    </xdr:to>
    <xdr:sp>
      <xdr:nvSpPr>
        <xdr:cNvPr id="2268" name="Host Control  220"/>
        <xdr:cNvSpPr/>
      </xdr:nvSpPr>
      <xdr:spPr>
        <a:xfrm>
          <a:off x="0" y="378904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222</xdr:row>
      <xdr:rowOff>0</xdr:rowOff>
    </xdr:from>
    <xdr:to>
      <xdr:col>1</xdr:col>
      <xdr:colOff>0</xdr:colOff>
      <xdr:row>224</xdr:row>
      <xdr:rowOff>104775</xdr:rowOff>
    </xdr:to>
    <xdr:sp>
      <xdr:nvSpPr>
        <xdr:cNvPr id="2269" name="Host Control  221"/>
        <xdr:cNvSpPr/>
      </xdr:nvSpPr>
      <xdr:spPr>
        <a:xfrm>
          <a:off x="0" y="380619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223</xdr:row>
      <xdr:rowOff>0</xdr:rowOff>
    </xdr:from>
    <xdr:to>
      <xdr:col>1</xdr:col>
      <xdr:colOff>0</xdr:colOff>
      <xdr:row>225</xdr:row>
      <xdr:rowOff>104775</xdr:rowOff>
    </xdr:to>
    <xdr:sp>
      <xdr:nvSpPr>
        <xdr:cNvPr id="2270" name="Host Control  222"/>
        <xdr:cNvSpPr/>
      </xdr:nvSpPr>
      <xdr:spPr>
        <a:xfrm>
          <a:off x="0" y="382333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1</xdr:col>
      <xdr:colOff>0</xdr:colOff>
      <xdr:row>227</xdr:row>
      <xdr:rowOff>76200</xdr:rowOff>
    </xdr:to>
    <xdr:sp>
      <xdr:nvSpPr>
        <xdr:cNvPr id="2271" name="Host Control  223"/>
        <xdr:cNvSpPr/>
      </xdr:nvSpPr>
      <xdr:spPr>
        <a:xfrm>
          <a:off x="0" y="384048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1</xdr:col>
      <xdr:colOff>0</xdr:colOff>
      <xdr:row>228</xdr:row>
      <xdr:rowOff>76200</xdr:rowOff>
    </xdr:to>
    <xdr:sp>
      <xdr:nvSpPr>
        <xdr:cNvPr id="2272" name="Host Control  224"/>
        <xdr:cNvSpPr/>
      </xdr:nvSpPr>
      <xdr:spPr>
        <a:xfrm>
          <a:off x="0" y="385762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226</xdr:row>
      <xdr:rowOff>0</xdr:rowOff>
    </xdr:from>
    <xdr:to>
      <xdr:col>1</xdr:col>
      <xdr:colOff>0</xdr:colOff>
      <xdr:row>228</xdr:row>
      <xdr:rowOff>104775</xdr:rowOff>
    </xdr:to>
    <xdr:sp>
      <xdr:nvSpPr>
        <xdr:cNvPr id="2273" name="Host Control  225"/>
        <xdr:cNvSpPr/>
      </xdr:nvSpPr>
      <xdr:spPr>
        <a:xfrm>
          <a:off x="0" y="387477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227</xdr:row>
      <xdr:rowOff>0</xdr:rowOff>
    </xdr:from>
    <xdr:to>
      <xdr:col>1</xdr:col>
      <xdr:colOff>0</xdr:colOff>
      <xdr:row>229</xdr:row>
      <xdr:rowOff>104775</xdr:rowOff>
    </xdr:to>
    <xdr:sp>
      <xdr:nvSpPr>
        <xdr:cNvPr id="2274" name="Host Control  226"/>
        <xdr:cNvSpPr/>
      </xdr:nvSpPr>
      <xdr:spPr>
        <a:xfrm>
          <a:off x="0" y="389191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228</xdr:row>
      <xdr:rowOff>0</xdr:rowOff>
    </xdr:from>
    <xdr:to>
      <xdr:col>1</xdr:col>
      <xdr:colOff>0</xdr:colOff>
      <xdr:row>230</xdr:row>
      <xdr:rowOff>104775</xdr:rowOff>
    </xdr:to>
    <xdr:sp>
      <xdr:nvSpPr>
        <xdr:cNvPr id="2275" name="Host Control  227"/>
        <xdr:cNvSpPr/>
      </xdr:nvSpPr>
      <xdr:spPr>
        <a:xfrm>
          <a:off x="0" y="390906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229</xdr:row>
      <xdr:rowOff>0</xdr:rowOff>
    </xdr:from>
    <xdr:to>
      <xdr:col>1</xdr:col>
      <xdr:colOff>0</xdr:colOff>
      <xdr:row>232</xdr:row>
      <xdr:rowOff>76200</xdr:rowOff>
    </xdr:to>
    <xdr:sp>
      <xdr:nvSpPr>
        <xdr:cNvPr id="2276" name="Host Control  228"/>
        <xdr:cNvSpPr/>
      </xdr:nvSpPr>
      <xdr:spPr>
        <a:xfrm>
          <a:off x="0" y="392620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1</xdr:col>
      <xdr:colOff>0</xdr:colOff>
      <xdr:row>232</xdr:row>
      <xdr:rowOff>104775</xdr:rowOff>
    </xdr:to>
    <xdr:sp>
      <xdr:nvSpPr>
        <xdr:cNvPr id="2277" name="Host Control  229"/>
        <xdr:cNvSpPr/>
      </xdr:nvSpPr>
      <xdr:spPr>
        <a:xfrm>
          <a:off x="0" y="394335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1</xdr:col>
      <xdr:colOff>0</xdr:colOff>
      <xdr:row>233</xdr:row>
      <xdr:rowOff>104775</xdr:rowOff>
    </xdr:to>
    <xdr:sp>
      <xdr:nvSpPr>
        <xdr:cNvPr id="2278" name="Host Control  230"/>
        <xdr:cNvSpPr/>
      </xdr:nvSpPr>
      <xdr:spPr>
        <a:xfrm>
          <a:off x="0" y="396049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232</xdr:row>
      <xdr:rowOff>0</xdr:rowOff>
    </xdr:from>
    <xdr:to>
      <xdr:col>1</xdr:col>
      <xdr:colOff>0</xdr:colOff>
      <xdr:row>234</xdr:row>
      <xdr:rowOff>104775</xdr:rowOff>
    </xdr:to>
    <xdr:sp>
      <xdr:nvSpPr>
        <xdr:cNvPr id="2279" name="Host Control  231"/>
        <xdr:cNvSpPr/>
      </xdr:nvSpPr>
      <xdr:spPr>
        <a:xfrm>
          <a:off x="0" y="397764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233</xdr:row>
      <xdr:rowOff>0</xdr:rowOff>
    </xdr:from>
    <xdr:to>
      <xdr:col>1</xdr:col>
      <xdr:colOff>0</xdr:colOff>
      <xdr:row>235</xdr:row>
      <xdr:rowOff>104775</xdr:rowOff>
    </xdr:to>
    <xdr:sp>
      <xdr:nvSpPr>
        <xdr:cNvPr id="2280" name="Host Control  232"/>
        <xdr:cNvSpPr/>
      </xdr:nvSpPr>
      <xdr:spPr>
        <a:xfrm>
          <a:off x="0" y="399478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234</xdr:row>
      <xdr:rowOff>0</xdr:rowOff>
    </xdr:from>
    <xdr:to>
      <xdr:col>1</xdr:col>
      <xdr:colOff>0</xdr:colOff>
      <xdr:row>237</xdr:row>
      <xdr:rowOff>95250</xdr:rowOff>
    </xdr:to>
    <xdr:sp>
      <xdr:nvSpPr>
        <xdr:cNvPr id="2281" name="Host Control  233"/>
        <xdr:cNvSpPr/>
      </xdr:nvSpPr>
      <xdr:spPr>
        <a:xfrm>
          <a:off x="0" y="40119300"/>
          <a:ext cx="685800" cy="6096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1</xdr:col>
      <xdr:colOff>0</xdr:colOff>
      <xdr:row>237</xdr:row>
      <xdr:rowOff>104775</xdr:rowOff>
    </xdr:to>
    <xdr:sp>
      <xdr:nvSpPr>
        <xdr:cNvPr id="2282" name="Host Control  234"/>
        <xdr:cNvSpPr/>
      </xdr:nvSpPr>
      <xdr:spPr>
        <a:xfrm>
          <a:off x="0" y="402907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236</xdr:row>
      <xdr:rowOff>0</xdr:rowOff>
    </xdr:from>
    <xdr:to>
      <xdr:col>1</xdr:col>
      <xdr:colOff>0</xdr:colOff>
      <xdr:row>238</xdr:row>
      <xdr:rowOff>104775</xdr:rowOff>
    </xdr:to>
    <xdr:sp>
      <xdr:nvSpPr>
        <xdr:cNvPr id="2283" name="Host Control  235"/>
        <xdr:cNvSpPr/>
      </xdr:nvSpPr>
      <xdr:spPr>
        <a:xfrm>
          <a:off x="0" y="404622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237</xdr:row>
      <xdr:rowOff>0</xdr:rowOff>
    </xdr:from>
    <xdr:to>
      <xdr:col>1</xdr:col>
      <xdr:colOff>0</xdr:colOff>
      <xdr:row>240</xdr:row>
      <xdr:rowOff>76200</xdr:rowOff>
    </xdr:to>
    <xdr:sp>
      <xdr:nvSpPr>
        <xdr:cNvPr id="2284" name="Host Control  236"/>
        <xdr:cNvSpPr/>
      </xdr:nvSpPr>
      <xdr:spPr>
        <a:xfrm>
          <a:off x="0" y="406336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238</xdr:row>
      <xdr:rowOff>0</xdr:rowOff>
    </xdr:from>
    <xdr:to>
      <xdr:col>1</xdr:col>
      <xdr:colOff>0</xdr:colOff>
      <xdr:row>241</xdr:row>
      <xdr:rowOff>85725</xdr:rowOff>
    </xdr:to>
    <xdr:sp>
      <xdr:nvSpPr>
        <xdr:cNvPr id="2285" name="Host Control  237"/>
        <xdr:cNvSpPr/>
      </xdr:nvSpPr>
      <xdr:spPr>
        <a:xfrm>
          <a:off x="0" y="4080510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239</xdr:row>
      <xdr:rowOff>0</xdr:rowOff>
    </xdr:from>
    <xdr:to>
      <xdr:col>1</xdr:col>
      <xdr:colOff>0</xdr:colOff>
      <xdr:row>241</xdr:row>
      <xdr:rowOff>104775</xdr:rowOff>
    </xdr:to>
    <xdr:sp>
      <xdr:nvSpPr>
        <xdr:cNvPr id="2286" name="Host Control  238"/>
        <xdr:cNvSpPr/>
      </xdr:nvSpPr>
      <xdr:spPr>
        <a:xfrm>
          <a:off x="0" y="409765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1</xdr:col>
      <xdr:colOff>0</xdr:colOff>
      <xdr:row>243</xdr:row>
      <xdr:rowOff>76200</xdr:rowOff>
    </xdr:to>
    <xdr:sp>
      <xdr:nvSpPr>
        <xdr:cNvPr id="2287" name="Host Control  239"/>
        <xdr:cNvSpPr/>
      </xdr:nvSpPr>
      <xdr:spPr>
        <a:xfrm>
          <a:off x="0" y="411480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241</xdr:row>
      <xdr:rowOff>0</xdr:rowOff>
    </xdr:from>
    <xdr:to>
      <xdr:col>1</xdr:col>
      <xdr:colOff>0</xdr:colOff>
      <xdr:row>245</xdr:row>
      <xdr:rowOff>47625</xdr:rowOff>
    </xdr:to>
    <xdr:sp>
      <xdr:nvSpPr>
        <xdr:cNvPr id="2288" name="Host Control  240"/>
        <xdr:cNvSpPr/>
      </xdr:nvSpPr>
      <xdr:spPr>
        <a:xfrm>
          <a:off x="0" y="41319450"/>
          <a:ext cx="685800" cy="733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242</xdr:row>
      <xdr:rowOff>0</xdr:rowOff>
    </xdr:from>
    <xdr:to>
      <xdr:col>1</xdr:col>
      <xdr:colOff>0</xdr:colOff>
      <xdr:row>244</xdr:row>
      <xdr:rowOff>104775</xdr:rowOff>
    </xdr:to>
    <xdr:sp>
      <xdr:nvSpPr>
        <xdr:cNvPr id="2289" name="Host Control  241"/>
        <xdr:cNvSpPr/>
      </xdr:nvSpPr>
      <xdr:spPr>
        <a:xfrm>
          <a:off x="0" y="414909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243</xdr:row>
      <xdr:rowOff>0</xdr:rowOff>
    </xdr:from>
    <xdr:to>
      <xdr:col>1</xdr:col>
      <xdr:colOff>0</xdr:colOff>
      <xdr:row>245</xdr:row>
      <xdr:rowOff>104775</xdr:rowOff>
    </xdr:to>
    <xdr:sp>
      <xdr:nvSpPr>
        <xdr:cNvPr id="2290" name="Host Control  242"/>
        <xdr:cNvSpPr/>
      </xdr:nvSpPr>
      <xdr:spPr>
        <a:xfrm>
          <a:off x="0" y="416623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244</xdr:row>
      <xdr:rowOff>0</xdr:rowOff>
    </xdr:from>
    <xdr:to>
      <xdr:col>1</xdr:col>
      <xdr:colOff>0</xdr:colOff>
      <xdr:row>246</xdr:row>
      <xdr:rowOff>104775</xdr:rowOff>
    </xdr:to>
    <xdr:sp>
      <xdr:nvSpPr>
        <xdr:cNvPr id="2291" name="Host Control  243"/>
        <xdr:cNvSpPr/>
      </xdr:nvSpPr>
      <xdr:spPr>
        <a:xfrm>
          <a:off x="0" y="418338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1</xdr:col>
      <xdr:colOff>0</xdr:colOff>
      <xdr:row>248</xdr:row>
      <xdr:rowOff>76200</xdr:rowOff>
    </xdr:to>
    <xdr:sp>
      <xdr:nvSpPr>
        <xdr:cNvPr id="2292" name="Host Control  244"/>
        <xdr:cNvSpPr/>
      </xdr:nvSpPr>
      <xdr:spPr>
        <a:xfrm>
          <a:off x="0" y="420052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246</xdr:row>
      <xdr:rowOff>0</xdr:rowOff>
    </xdr:from>
    <xdr:to>
      <xdr:col>1</xdr:col>
      <xdr:colOff>0</xdr:colOff>
      <xdr:row>249</xdr:row>
      <xdr:rowOff>76200</xdr:rowOff>
    </xdr:to>
    <xdr:sp>
      <xdr:nvSpPr>
        <xdr:cNvPr id="2293" name="Host Control  245"/>
        <xdr:cNvSpPr/>
      </xdr:nvSpPr>
      <xdr:spPr>
        <a:xfrm>
          <a:off x="0" y="421767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247</xdr:row>
      <xdr:rowOff>0</xdr:rowOff>
    </xdr:from>
    <xdr:to>
      <xdr:col>1</xdr:col>
      <xdr:colOff>0</xdr:colOff>
      <xdr:row>249</xdr:row>
      <xdr:rowOff>114300</xdr:rowOff>
    </xdr:to>
    <xdr:sp>
      <xdr:nvSpPr>
        <xdr:cNvPr id="2294" name="Host Control  246"/>
        <xdr:cNvSpPr/>
      </xdr:nvSpPr>
      <xdr:spPr>
        <a:xfrm>
          <a:off x="0" y="4234815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248</xdr:row>
      <xdr:rowOff>0</xdr:rowOff>
    </xdr:from>
    <xdr:to>
      <xdr:col>1</xdr:col>
      <xdr:colOff>0</xdr:colOff>
      <xdr:row>250</xdr:row>
      <xdr:rowOff>104775</xdr:rowOff>
    </xdr:to>
    <xdr:sp>
      <xdr:nvSpPr>
        <xdr:cNvPr id="2295" name="Host Control  247"/>
        <xdr:cNvSpPr/>
      </xdr:nvSpPr>
      <xdr:spPr>
        <a:xfrm>
          <a:off x="0" y="425196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249</xdr:row>
      <xdr:rowOff>0</xdr:rowOff>
    </xdr:from>
    <xdr:to>
      <xdr:col>1</xdr:col>
      <xdr:colOff>0</xdr:colOff>
      <xdr:row>251</xdr:row>
      <xdr:rowOff>104775</xdr:rowOff>
    </xdr:to>
    <xdr:sp>
      <xdr:nvSpPr>
        <xdr:cNvPr id="2296" name="Host Control  248"/>
        <xdr:cNvSpPr/>
      </xdr:nvSpPr>
      <xdr:spPr>
        <a:xfrm>
          <a:off x="0" y="426910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1</xdr:col>
      <xdr:colOff>0</xdr:colOff>
      <xdr:row>252</xdr:row>
      <xdr:rowOff>104775</xdr:rowOff>
    </xdr:to>
    <xdr:sp>
      <xdr:nvSpPr>
        <xdr:cNvPr id="2297" name="Host Control  249"/>
        <xdr:cNvSpPr/>
      </xdr:nvSpPr>
      <xdr:spPr>
        <a:xfrm>
          <a:off x="0" y="428625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1</xdr:col>
      <xdr:colOff>0</xdr:colOff>
      <xdr:row>254</xdr:row>
      <xdr:rowOff>76200</xdr:rowOff>
    </xdr:to>
    <xdr:sp>
      <xdr:nvSpPr>
        <xdr:cNvPr id="2298" name="Host Control  250"/>
        <xdr:cNvSpPr/>
      </xdr:nvSpPr>
      <xdr:spPr>
        <a:xfrm>
          <a:off x="0" y="430339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1</xdr:col>
      <xdr:colOff>0</xdr:colOff>
      <xdr:row>254</xdr:row>
      <xdr:rowOff>104775</xdr:rowOff>
    </xdr:to>
    <xdr:sp>
      <xdr:nvSpPr>
        <xdr:cNvPr id="2299" name="Host Control  251"/>
        <xdr:cNvSpPr/>
      </xdr:nvSpPr>
      <xdr:spPr>
        <a:xfrm>
          <a:off x="0" y="432054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253</xdr:row>
      <xdr:rowOff>0</xdr:rowOff>
    </xdr:from>
    <xdr:to>
      <xdr:col>1</xdr:col>
      <xdr:colOff>0</xdr:colOff>
      <xdr:row>255</xdr:row>
      <xdr:rowOff>104775</xdr:rowOff>
    </xdr:to>
    <xdr:sp>
      <xdr:nvSpPr>
        <xdr:cNvPr id="2300" name="Host Control  252"/>
        <xdr:cNvSpPr/>
      </xdr:nvSpPr>
      <xdr:spPr>
        <a:xfrm>
          <a:off x="0" y="433768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254</xdr:row>
      <xdr:rowOff>0</xdr:rowOff>
    </xdr:from>
    <xdr:to>
      <xdr:col>1</xdr:col>
      <xdr:colOff>0</xdr:colOff>
      <xdr:row>256</xdr:row>
      <xdr:rowOff>114300</xdr:rowOff>
    </xdr:to>
    <xdr:sp>
      <xdr:nvSpPr>
        <xdr:cNvPr id="2301" name="Host Control  253"/>
        <xdr:cNvSpPr/>
      </xdr:nvSpPr>
      <xdr:spPr>
        <a:xfrm>
          <a:off x="0" y="4354830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1</xdr:col>
      <xdr:colOff>0</xdr:colOff>
      <xdr:row>258</xdr:row>
      <xdr:rowOff>76200</xdr:rowOff>
    </xdr:to>
    <xdr:sp>
      <xdr:nvSpPr>
        <xdr:cNvPr id="2302" name="Host Control  254"/>
        <xdr:cNvSpPr/>
      </xdr:nvSpPr>
      <xdr:spPr>
        <a:xfrm>
          <a:off x="0" y="437197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256</xdr:row>
      <xdr:rowOff>0</xdr:rowOff>
    </xdr:from>
    <xdr:to>
      <xdr:col>1</xdr:col>
      <xdr:colOff>0</xdr:colOff>
      <xdr:row>259</xdr:row>
      <xdr:rowOff>85725</xdr:rowOff>
    </xdr:to>
    <xdr:sp>
      <xdr:nvSpPr>
        <xdr:cNvPr id="2303" name="Host Control  255"/>
        <xdr:cNvSpPr/>
      </xdr:nvSpPr>
      <xdr:spPr>
        <a:xfrm>
          <a:off x="0" y="4389120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257</xdr:row>
      <xdr:rowOff>0</xdr:rowOff>
    </xdr:from>
    <xdr:to>
      <xdr:col>1</xdr:col>
      <xdr:colOff>0</xdr:colOff>
      <xdr:row>259</xdr:row>
      <xdr:rowOff>104775</xdr:rowOff>
    </xdr:to>
    <xdr:sp>
      <xdr:nvSpPr>
        <xdr:cNvPr id="2304" name="Host Control  256"/>
        <xdr:cNvSpPr/>
      </xdr:nvSpPr>
      <xdr:spPr>
        <a:xfrm>
          <a:off x="0" y="440626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258</xdr:row>
      <xdr:rowOff>0</xdr:rowOff>
    </xdr:from>
    <xdr:to>
      <xdr:col>1</xdr:col>
      <xdr:colOff>0</xdr:colOff>
      <xdr:row>261</xdr:row>
      <xdr:rowOff>76200</xdr:rowOff>
    </xdr:to>
    <xdr:sp>
      <xdr:nvSpPr>
        <xdr:cNvPr id="2305" name="Host Control  257"/>
        <xdr:cNvSpPr/>
      </xdr:nvSpPr>
      <xdr:spPr>
        <a:xfrm>
          <a:off x="0" y="442341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1</xdr:col>
      <xdr:colOff>0</xdr:colOff>
      <xdr:row>261</xdr:row>
      <xdr:rowOff>104775</xdr:rowOff>
    </xdr:to>
    <xdr:sp>
      <xdr:nvSpPr>
        <xdr:cNvPr id="2306" name="Host Control  258"/>
        <xdr:cNvSpPr/>
      </xdr:nvSpPr>
      <xdr:spPr>
        <a:xfrm>
          <a:off x="0" y="444055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1</xdr:col>
      <xdr:colOff>0</xdr:colOff>
      <xdr:row>263</xdr:row>
      <xdr:rowOff>95250</xdr:rowOff>
    </xdr:to>
    <xdr:sp>
      <xdr:nvSpPr>
        <xdr:cNvPr id="2307" name="Host Control  259"/>
        <xdr:cNvSpPr/>
      </xdr:nvSpPr>
      <xdr:spPr>
        <a:xfrm>
          <a:off x="0" y="44577000"/>
          <a:ext cx="685800" cy="6096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261</xdr:row>
      <xdr:rowOff>0</xdr:rowOff>
    </xdr:from>
    <xdr:to>
      <xdr:col>1</xdr:col>
      <xdr:colOff>0</xdr:colOff>
      <xdr:row>263</xdr:row>
      <xdr:rowOff>104775</xdr:rowOff>
    </xdr:to>
    <xdr:sp>
      <xdr:nvSpPr>
        <xdr:cNvPr id="2308" name="Host Control  260"/>
        <xdr:cNvSpPr/>
      </xdr:nvSpPr>
      <xdr:spPr>
        <a:xfrm>
          <a:off x="0" y="447484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262</xdr:row>
      <xdr:rowOff>0</xdr:rowOff>
    </xdr:from>
    <xdr:to>
      <xdr:col>1</xdr:col>
      <xdr:colOff>0</xdr:colOff>
      <xdr:row>264</xdr:row>
      <xdr:rowOff>104775</xdr:rowOff>
    </xdr:to>
    <xdr:sp>
      <xdr:nvSpPr>
        <xdr:cNvPr id="2309" name="Host Control  261"/>
        <xdr:cNvSpPr/>
      </xdr:nvSpPr>
      <xdr:spPr>
        <a:xfrm>
          <a:off x="0" y="449199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263</xdr:row>
      <xdr:rowOff>0</xdr:rowOff>
    </xdr:from>
    <xdr:to>
      <xdr:col>1</xdr:col>
      <xdr:colOff>0</xdr:colOff>
      <xdr:row>265</xdr:row>
      <xdr:rowOff>104775</xdr:rowOff>
    </xdr:to>
    <xdr:sp>
      <xdr:nvSpPr>
        <xdr:cNvPr id="2310" name="Host Control  262"/>
        <xdr:cNvSpPr/>
      </xdr:nvSpPr>
      <xdr:spPr>
        <a:xfrm>
          <a:off x="0" y="450913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264</xdr:row>
      <xdr:rowOff>0</xdr:rowOff>
    </xdr:from>
    <xdr:to>
      <xdr:col>1</xdr:col>
      <xdr:colOff>0</xdr:colOff>
      <xdr:row>266</xdr:row>
      <xdr:rowOff>104775</xdr:rowOff>
    </xdr:to>
    <xdr:sp>
      <xdr:nvSpPr>
        <xdr:cNvPr id="2311" name="Host Control  263"/>
        <xdr:cNvSpPr/>
      </xdr:nvSpPr>
      <xdr:spPr>
        <a:xfrm>
          <a:off x="0" y="452628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1</xdr:col>
      <xdr:colOff>0</xdr:colOff>
      <xdr:row>267</xdr:row>
      <xdr:rowOff>104775</xdr:rowOff>
    </xdr:to>
    <xdr:sp>
      <xdr:nvSpPr>
        <xdr:cNvPr id="2312" name="Host Control  264"/>
        <xdr:cNvSpPr/>
      </xdr:nvSpPr>
      <xdr:spPr>
        <a:xfrm>
          <a:off x="0" y="454342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1</xdr:col>
      <xdr:colOff>0</xdr:colOff>
      <xdr:row>268</xdr:row>
      <xdr:rowOff>104775</xdr:rowOff>
    </xdr:to>
    <xdr:sp>
      <xdr:nvSpPr>
        <xdr:cNvPr id="2313" name="Host Control  265"/>
        <xdr:cNvSpPr/>
      </xdr:nvSpPr>
      <xdr:spPr>
        <a:xfrm>
          <a:off x="0" y="456057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267</xdr:row>
      <xdr:rowOff>0</xdr:rowOff>
    </xdr:from>
    <xdr:to>
      <xdr:col>1</xdr:col>
      <xdr:colOff>0</xdr:colOff>
      <xdr:row>269</xdr:row>
      <xdr:rowOff>104775</xdr:rowOff>
    </xdr:to>
    <xdr:sp>
      <xdr:nvSpPr>
        <xdr:cNvPr id="2314" name="Host Control  266"/>
        <xdr:cNvSpPr/>
      </xdr:nvSpPr>
      <xdr:spPr>
        <a:xfrm>
          <a:off x="0" y="457771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268</xdr:row>
      <xdr:rowOff>0</xdr:rowOff>
    </xdr:from>
    <xdr:to>
      <xdr:col>1</xdr:col>
      <xdr:colOff>0</xdr:colOff>
      <xdr:row>270</xdr:row>
      <xdr:rowOff>104775</xdr:rowOff>
    </xdr:to>
    <xdr:sp>
      <xdr:nvSpPr>
        <xdr:cNvPr id="2315" name="Host Control  267"/>
        <xdr:cNvSpPr/>
      </xdr:nvSpPr>
      <xdr:spPr>
        <a:xfrm>
          <a:off x="0" y="459486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269</xdr:row>
      <xdr:rowOff>0</xdr:rowOff>
    </xdr:from>
    <xdr:to>
      <xdr:col>1</xdr:col>
      <xdr:colOff>0</xdr:colOff>
      <xdr:row>271</xdr:row>
      <xdr:rowOff>104775</xdr:rowOff>
    </xdr:to>
    <xdr:sp>
      <xdr:nvSpPr>
        <xdr:cNvPr id="2316" name="Host Control  268"/>
        <xdr:cNvSpPr/>
      </xdr:nvSpPr>
      <xdr:spPr>
        <a:xfrm>
          <a:off x="0" y="461200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1</xdr:col>
      <xdr:colOff>0</xdr:colOff>
      <xdr:row>273</xdr:row>
      <xdr:rowOff>85725</xdr:rowOff>
    </xdr:to>
    <xdr:sp>
      <xdr:nvSpPr>
        <xdr:cNvPr id="2317" name="Host Control  269"/>
        <xdr:cNvSpPr/>
      </xdr:nvSpPr>
      <xdr:spPr>
        <a:xfrm>
          <a:off x="0" y="4629150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271</xdr:row>
      <xdr:rowOff>0</xdr:rowOff>
    </xdr:from>
    <xdr:to>
      <xdr:col>1</xdr:col>
      <xdr:colOff>0</xdr:colOff>
      <xdr:row>273</xdr:row>
      <xdr:rowOff>104775</xdr:rowOff>
    </xdr:to>
    <xdr:sp>
      <xdr:nvSpPr>
        <xdr:cNvPr id="2318" name="Host Control  270"/>
        <xdr:cNvSpPr/>
      </xdr:nvSpPr>
      <xdr:spPr>
        <a:xfrm>
          <a:off x="0" y="464629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272</xdr:row>
      <xdr:rowOff>0</xdr:rowOff>
    </xdr:from>
    <xdr:to>
      <xdr:col>1</xdr:col>
      <xdr:colOff>0</xdr:colOff>
      <xdr:row>275</xdr:row>
      <xdr:rowOff>76200</xdr:rowOff>
    </xdr:to>
    <xdr:sp>
      <xdr:nvSpPr>
        <xdr:cNvPr id="2319" name="Host Control  271"/>
        <xdr:cNvSpPr/>
      </xdr:nvSpPr>
      <xdr:spPr>
        <a:xfrm>
          <a:off x="0" y="466344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1</xdr:col>
      <xdr:colOff>0</xdr:colOff>
      <xdr:row>275</xdr:row>
      <xdr:rowOff>104775</xdr:rowOff>
    </xdr:to>
    <xdr:sp>
      <xdr:nvSpPr>
        <xdr:cNvPr id="2320" name="Host Control  272"/>
        <xdr:cNvSpPr/>
      </xdr:nvSpPr>
      <xdr:spPr>
        <a:xfrm>
          <a:off x="0" y="468058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274</xdr:row>
      <xdr:rowOff>0</xdr:rowOff>
    </xdr:from>
    <xdr:to>
      <xdr:col>1</xdr:col>
      <xdr:colOff>0</xdr:colOff>
      <xdr:row>277</xdr:row>
      <xdr:rowOff>76200</xdr:rowOff>
    </xdr:to>
    <xdr:sp>
      <xdr:nvSpPr>
        <xdr:cNvPr id="2321" name="Host Control  273"/>
        <xdr:cNvSpPr/>
      </xdr:nvSpPr>
      <xdr:spPr>
        <a:xfrm>
          <a:off x="0" y="469773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1</xdr:col>
      <xdr:colOff>0</xdr:colOff>
      <xdr:row>278</xdr:row>
      <xdr:rowOff>76200</xdr:rowOff>
    </xdr:to>
    <xdr:sp>
      <xdr:nvSpPr>
        <xdr:cNvPr id="2322" name="Host Control  274"/>
        <xdr:cNvSpPr/>
      </xdr:nvSpPr>
      <xdr:spPr>
        <a:xfrm>
          <a:off x="0" y="471487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276</xdr:row>
      <xdr:rowOff>0</xdr:rowOff>
    </xdr:from>
    <xdr:to>
      <xdr:col>1</xdr:col>
      <xdr:colOff>0</xdr:colOff>
      <xdr:row>278</xdr:row>
      <xdr:rowOff>104775</xdr:rowOff>
    </xdr:to>
    <xdr:sp>
      <xdr:nvSpPr>
        <xdr:cNvPr id="2323" name="Host Control  275"/>
        <xdr:cNvSpPr/>
      </xdr:nvSpPr>
      <xdr:spPr>
        <a:xfrm>
          <a:off x="0" y="473202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277</xdr:row>
      <xdr:rowOff>0</xdr:rowOff>
    </xdr:from>
    <xdr:to>
      <xdr:col>1</xdr:col>
      <xdr:colOff>0</xdr:colOff>
      <xdr:row>279</xdr:row>
      <xdr:rowOff>104775</xdr:rowOff>
    </xdr:to>
    <xdr:sp>
      <xdr:nvSpPr>
        <xdr:cNvPr id="2324" name="Host Control  276"/>
        <xdr:cNvSpPr/>
      </xdr:nvSpPr>
      <xdr:spPr>
        <a:xfrm>
          <a:off x="0" y="474916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278</xdr:row>
      <xdr:rowOff>0</xdr:rowOff>
    </xdr:from>
    <xdr:to>
      <xdr:col>1</xdr:col>
      <xdr:colOff>0</xdr:colOff>
      <xdr:row>280</xdr:row>
      <xdr:rowOff>104775</xdr:rowOff>
    </xdr:to>
    <xdr:sp>
      <xdr:nvSpPr>
        <xdr:cNvPr id="2325" name="Host Control  277"/>
        <xdr:cNvSpPr/>
      </xdr:nvSpPr>
      <xdr:spPr>
        <a:xfrm>
          <a:off x="0" y="476631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279</xdr:row>
      <xdr:rowOff>0</xdr:rowOff>
    </xdr:from>
    <xdr:to>
      <xdr:col>1</xdr:col>
      <xdr:colOff>0</xdr:colOff>
      <xdr:row>281</xdr:row>
      <xdr:rowOff>104775</xdr:rowOff>
    </xdr:to>
    <xdr:sp>
      <xdr:nvSpPr>
        <xdr:cNvPr id="2326" name="Host Control  278"/>
        <xdr:cNvSpPr/>
      </xdr:nvSpPr>
      <xdr:spPr>
        <a:xfrm>
          <a:off x="0" y="478345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1</xdr:col>
      <xdr:colOff>0</xdr:colOff>
      <xdr:row>282</xdr:row>
      <xdr:rowOff>104775</xdr:rowOff>
    </xdr:to>
    <xdr:sp>
      <xdr:nvSpPr>
        <xdr:cNvPr id="2327" name="Host Control  279"/>
        <xdr:cNvSpPr/>
      </xdr:nvSpPr>
      <xdr:spPr>
        <a:xfrm>
          <a:off x="0" y="480060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281</xdr:row>
      <xdr:rowOff>0</xdr:rowOff>
    </xdr:from>
    <xdr:to>
      <xdr:col>1</xdr:col>
      <xdr:colOff>0</xdr:colOff>
      <xdr:row>284</xdr:row>
      <xdr:rowOff>76200</xdr:rowOff>
    </xdr:to>
    <xdr:sp>
      <xdr:nvSpPr>
        <xdr:cNvPr id="2328" name="Host Control  280"/>
        <xdr:cNvSpPr/>
      </xdr:nvSpPr>
      <xdr:spPr>
        <a:xfrm>
          <a:off x="0" y="481774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282</xdr:row>
      <xdr:rowOff>0</xdr:rowOff>
    </xdr:from>
    <xdr:to>
      <xdr:col>1</xdr:col>
      <xdr:colOff>0</xdr:colOff>
      <xdr:row>284</xdr:row>
      <xdr:rowOff>104775</xdr:rowOff>
    </xdr:to>
    <xdr:sp>
      <xdr:nvSpPr>
        <xdr:cNvPr id="2329" name="Host Control  281"/>
        <xdr:cNvSpPr/>
      </xdr:nvSpPr>
      <xdr:spPr>
        <a:xfrm>
          <a:off x="0" y="483489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283</xdr:row>
      <xdr:rowOff>0</xdr:rowOff>
    </xdr:from>
    <xdr:to>
      <xdr:col>1</xdr:col>
      <xdr:colOff>0</xdr:colOff>
      <xdr:row>285</xdr:row>
      <xdr:rowOff>104775</xdr:rowOff>
    </xdr:to>
    <xdr:sp>
      <xdr:nvSpPr>
        <xdr:cNvPr id="2330" name="Host Control  282"/>
        <xdr:cNvSpPr/>
      </xdr:nvSpPr>
      <xdr:spPr>
        <a:xfrm>
          <a:off x="0" y="485203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284</xdr:row>
      <xdr:rowOff>0</xdr:rowOff>
    </xdr:from>
    <xdr:to>
      <xdr:col>1</xdr:col>
      <xdr:colOff>0</xdr:colOff>
      <xdr:row>287</xdr:row>
      <xdr:rowOff>76200</xdr:rowOff>
    </xdr:to>
    <xdr:sp>
      <xdr:nvSpPr>
        <xdr:cNvPr id="2331" name="Host Control  283"/>
        <xdr:cNvSpPr/>
      </xdr:nvSpPr>
      <xdr:spPr>
        <a:xfrm>
          <a:off x="0" y="486918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285</xdr:row>
      <xdr:rowOff>0</xdr:rowOff>
    </xdr:from>
    <xdr:to>
      <xdr:col>1</xdr:col>
      <xdr:colOff>0</xdr:colOff>
      <xdr:row>287</xdr:row>
      <xdr:rowOff>104775</xdr:rowOff>
    </xdr:to>
    <xdr:sp>
      <xdr:nvSpPr>
        <xdr:cNvPr id="2332" name="Host Control  284"/>
        <xdr:cNvSpPr/>
      </xdr:nvSpPr>
      <xdr:spPr>
        <a:xfrm>
          <a:off x="0" y="488632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286</xdr:row>
      <xdr:rowOff>0</xdr:rowOff>
    </xdr:from>
    <xdr:to>
      <xdr:col>1</xdr:col>
      <xdr:colOff>0</xdr:colOff>
      <xdr:row>288</xdr:row>
      <xdr:rowOff>114300</xdr:rowOff>
    </xdr:to>
    <xdr:sp>
      <xdr:nvSpPr>
        <xdr:cNvPr id="2333" name="Host Control  285"/>
        <xdr:cNvSpPr/>
      </xdr:nvSpPr>
      <xdr:spPr>
        <a:xfrm>
          <a:off x="0" y="4903470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287</xdr:row>
      <xdr:rowOff>0</xdr:rowOff>
    </xdr:from>
    <xdr:to>
      <xdr:col>1</xdr:col>
      <xdr:colOff>0</xdr:colOff>
      <xdr:row>290</xdr:row>
      <xdr:rowOff>76200</xdr:rowOff>
    </xdr:to>
    <xdr:sp>
      <xdr:nvSpPr>
        <xdr:cNvPr id="2334" name="Host Control  286"/>
        <xdr:cNvSpPr/>
      </xdr:nvSpPr>
      <xdr:spPr>
        <a:xfrm>
          <a:off x="0" y="492061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288</xdr:row>
      <xdr:rowOff>0</xdr:rowOff>
    </xdr:from>
    <xdr:to>
      <xdr:col>1</xdr:col>
      <xdr:colOff>0</xdr:colOff>
      <xdr:row>290</xdr:row>
      <xdr:rowOff>104775</xdr:rowOff>
    </xdr:to>
    <xdr:sp>
      <xdr:nvSpPr>
        <xdr:cNvPr id="2335" name="Host Control  287"/>
        <xdr:cNvSpPr/>
      </xdr:nvSpPr>
      <xdr:spPr>
        <a:xfrm>
          <a:off x="0" y="493776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289</xdr:row>
      <xdr:rowOff>0</xdr:rowOff>
    </xdr:from>
    <xdr:to>
      <xdr:col>1</xdr:col>
      <xdr:colOff>0</xdr:colOff>
      <xdr:row>291</xdr:row>
      <xdr:rowOff>104775</xdr:rowOff>
    </xdr:to>
    <xdr:sp>
      <xdr:nvSpPr>
        <xdr:cNvPr id="2336" name="Host Control  288"/>
        <xdr:cNvSpPr/>
      </xdr:nvSpPr>
      <xdr:spPr>
        <a:xfrm>
          <a:off x="0" y="495490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1</xdr:col>
      <xdr:colOff>0</xdr:colOff>
      <xdr:row>293</xdr:row>
      <xdr:rowOff>85725</xdr:rowOff>
    </xdr:to>
    <xdr:sp>
      <xdr:nvSpPr>
        <xdr:cNvPr id="2337" name="Host Control  289"/>
        <xdr:cNvSpPr/>
      </xdr:nvSpPr>
      <xdr:spPr>
        <a:xfrm>
          <a:off x="0" y="4972050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291</xdr:row>
      <xdr:rowOff>0</xdr:rowOff>
    </xdr:from>
    <xdr:to>
      <xdr:col>1</xdr:col>
      <xdr:colOff>0</xdr:colOff>
      <xdr:row>294</xdr:row>
      <xdr:rowOff>76200</xdr:rowOff>
    </xdr:to>
    <xdr:sp>
      <xdr:nvSpPr>
        <xdr:cNvPr id="2338" name="Host Control  290"/>
        <xdr:cNvSpPr/>
      </xdr:nvSpPr>
      <xdr:spPr>
        <a:xfrm>
          <a:off x="0" y="498919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292</xdr:row>
      <xdr:rowOff>0</xdr:rowOff>
    </xdr:from>
    <xdr:to>
      <xdr:col>1</xdr:col>
      <xdr:colOff>0</xdr:colOff>
      <xdr:row>295</xdr:row>
      <xdr:rowOff>95250</xdr:rowOff>
    </xdr:to>
    <xdr:sp>
      <xdr:nvSpPr>
        <xdr:cNvPr id="2339" name="Host Control  291"/>
        <xdr:cNvSpPr/>
      </xdr:nvSpPr>
      <xdr:spPr>
        <a:xfrm>
          <a:off x="0" y="50063400"/>
          <a:ext cx="685800" cy="6096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293</xdr:row>
      <xdr:rowOff>0</xdr:rowOff>
    </xdr:from>
    <xdr:to>
      <xdr:col>1</xdr:col>
      <xdr:colOff>0</xdr:colOff>
      <xdr:row>296</xdr:row>
      <xdr:rowOff>76200</xdr:rowOff>
    </xdr:to>
    <xdr:sp>
      <xdr:nvSpPr>
        <xdr:cNvPr id="2340" name="Host Control  292"/>
        <xdr:cNvSpPr/>
      </xdr:nvSpPr>
      <xdr:spPr>
        <a:xfrm>
          <a:off x="0" y="502348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1</xdr:col>
      <xdr:colOff>0</xdr:colOff>
      <xdr:row>296</xdr:row>
      <xdr:rowOff>104775</xdr:rowOff>
    </xdr:to>
    <xdr:sp>
      <xdr:nvSpPr>
        <xdr:cNvPr id="2341" name="Host Control  293"/>
        <xdr:cNvSpPr/>
      </xdr:nvSpPr>
      <xdr:spPr>
        <a:xfrm>
          <a:off x="0" y="504063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1</xdr:col>
      <xdr:colOff>0</xdr:colOff>
      <xdr:row>297</xdr:row>
      <xdr:rowOff>104775</xdr:rowOff>
    </xdr:to>
    <xdr:sp>
      <xdr:nvSpPr>
        <xdr:cNvPr id="2342" name="Host Control  294"/>
        <xdr:cNvSpPr/>
      </xdr:nvSpPr>
      <xdr:spPr>
        <a:xfrm>
          <a:off x="0" y="505777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296</xdr:row>
      <xdr:rowOff>0</xdr:rowOff>
    </xdr:from>
    <xdr:to>
      <xdr:col>1</xdr:col>
      <xdr:colOff>0</xdr:colOff>
      <xdr:row>298</xdr:row>
      <xdr:rowOff>104775</xdr:rowOff>
    </xdr:to>
    <xdr:sp>
      <xdr:nvSpPr>
        <xdr:cNvPr id="2343" name="Host Control  295"/>
        <xdr:cNvSpPr/>
      </xdr:nvSpPr>
      <xdr:spPr>
        <a:xfrm>
          <a:off x="0" y="507492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297</xdr:row>
      <xdr:rowOff>0</xdr:rowOff>
    </xdr:from>
    <xdr:to>
      <xdr:col>1</xdr:col>
      <xdr:colOff>0</xdr:colOff>
      <xdr:row>300</xdr:row>
      <xdr:rowOff>85725</xdr:rowOff>
    </xdr:to>
    <xdr:sp>
      <xdr:nvSpPr>
        <xdr:cNvPr id="2344" name="Host Control  296"/>
        <xdr:cNvSpPr/>
      </xdr:nvSpPr>
      <xdr:spPr>
        <a:xfrm>
          <a:off x="0" y="5092065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298</xdr:row>
      <xdr:rowOff>0</xdr:rowOff>
    </xdr:from>
    <xdr:to>
      <xdr:col>1</xdr:col>
      <xdr:colOff>0</xdr:colOff>
      <xdr:row>300</xdr:row>
      <xdr:rowOff>104775</xdr:rowOff>
    </xdr:to>
    <xdr:sp>
      <xdr:nvSpPr>
        <xdr:cNvPr id="2345" name="Host Control  297"/>
        <xdr:cNvSpPr/>
      </xdr:nvSpPr>
      <xdr:spPr>
        <a:xfrm>
          <a:off x="0" y="510921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299</xdr:row>
      <xdr:rowOff>0</xdr:rowOff>
    </xdr:from>
    <xdr:to>
      <xdr:col>1</xdr:col>
      <xdr:colOff>0</xdr:colOff>
      <xdr:row>301</xdr:row>
      <xdr:rowOff>104775</xdr:rowOff>
    </xdr:to>
    <xdr:sp>
      <xdr:nvSpPr>
        <xdr:cNvPr id="2346" name="Host Control  298"/>
        <xdr:cNvSpPr/>
      </xdr:nvSpPr>
      <xdr:spPr>
        <a:xfrm>
          <a:off x="0" y="512635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1</xdr:col>
      <xdr:colOff>0</xdr:colOff>
      <xdr:row>302</xdr:row>
      <xdr:rowOff>104775</xdr:rowOff>
    </xdr:to>
    <xdr:sp>
      <xdr:nvSpPr>
        <xdr:cNvPr id="2347" name="Host Control  299"/>
        <xdr:cNvSpPr/>
      </xdr:nvSpPr>
      <xdr:spPr>
        <a:xfrm>
          <a:off x="0" y="514350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1</xdr:col>
      <xdr:colOff>0</xdr:colOff>
      <xdr:row>303</xdr:row>
      <xdr:rowOff>104775</xdr:rowOff>
    </xdr:to>
    <xdr:sp>
      <xdr:nvSpPr>
        <xdr:cNvPr id="2348" name="Host Control  300"/>
        <xdr:cNvSpPr/>
      </xdr:nvSpPr>
      <xdr:spPr>
        <a:xfrm>
          <a:off x="0" y="516064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302</xdr:row>
      <xdr:rowOff>0</xdr:rowOff>
    </xdr:from>
    <xdr:to>
      <xdr:col>1</xdr:col>
      <xdr:colOff>0</xdr:colOff>
      <xdr:row>305</xdr:row>
      <xdr:rowOff>76200</xdr:rowOff>
    </xdr:to>
    <xdr:sp>
      <xdr:nvSpPr>
        <xdr:cNvPr id="2349" name="Host Control  301"/>
        <xdr:cNvSpPr/>
      </xdr:nvSpPr>
      <xdr:spPr>
        <a:xfrm>
          <a:off x="0" y="517779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303</xdr:row>
      <xdr:rowOff>0</xdr:rowOff>
    </xdr:from>
    <xdr:to>
      <xdr:col>1</xdr:col>
      <xdr:colOff>0</xdr:colOff>
      <xdr:row>305</xdr:row>
      <xdr:rowOff>104775</xdr:rowOff>
    </xdr:to>
    <xdr:sp>
      <xdr:nvSpPr>
        <xdr:cNvPr id="2350" name="Host Control  302"/>
        <xdr:cNvSpPr/>
      </xdr:nvSpPr>
      <xdr:spPr>
        <a:xfrm>
          <a:off x="0" y="519493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304</xdr:row>
      <xdr:rowOff>0</xdr:rowOff>
    </xdr:from>
    <xdr:to>
      <xdr:col>1</xdr:col>
      <xdr:colOff>0</xdr:colOff>
      <xdr:row>306</xdr:row>
      <xdr:rowOff>104775</xdr:rowOff>
    </xdr:to>
    <xdr:sp>
      <xdr:nvSpPr>
        <xdr:cNvPr id="2351" name="Host Control  303"/>
        <xdr:cNvSpPr/>
      </xdr:nvSpPr>
      <xdr:spPr>
        <a:xfrm>
          <a:off x="0" y="521208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1</xdr:col>
      <xdr:colOff>0</xdr:colOff>
      <xdr:row>308</xdr:row>
      <xdr:rowOff>85725</xdr:rowOff>
    </xdr:to>
    <xdr:sp>
      <xdr:nvSpPr>
        <xdr:cNvPr id="2352" name="Host Control  304"/>
        <xdr:cNvSpPr/>
      </xdr:nvSpPr>
      <xdr:spPr>
        <a:xfrm>
          <a:off x="0" y="5229225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306</xdr:row>
      <xdr:rowOff>0</xdr:rowOff>
    </xdr:from>
    <xdr:to>
      <xdr:col>1</xdr:col>
      <xdr:colOff>0</xdr:colOff>
      <xdr:row>309</xdr:row>
      <xdr:rowOff>85725</xdr:rowOff>
    </xdr:to>
    <xdr:sp>
      <xdr:nvSpPr>
        <xdr:cNvPr id="2353" name="Host Control  305"/>
        <xdr:cNvSpPr/>
      </xdr:nvSpPr>
      <xdr:spPr>
        <a:xfrm>
          <a:off x="0" y="5246370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307</xdr:row>
      <xdr:rowOff>0</xdr:rowOff>
    </xdr:from>
    <xdr:to>
      <xdr:col>1</xdr:col>
      <xdr:colOff>0</xdr:colOff>
      <xdr:row>310</xdr:row>
      <xdr:rowOff>85725</xdr:rowOff>
    </xdr:to>
    <xdr:sp>
      <xdr:nvSpPr>
        <xdr:cNvPr id="2354" name="Host Control  306"/>
        <xdr:cNvSpPr/>
      </xdr:nvSpPr>
      <xdr:spPr>
        <a:xfrm>
          <a:off x="0" y="5263515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1</xdr:col>
      <xdr:colOff>0</xdr:colOff>
      <xdr:row>311</xdr:row>
      <xdr:rowOff>85725</xdr:rowOff>
    </xdr:to>
    <xdr:sp>
      <xdr:nvSpPr>
        <xdr:cNvPr id="2355" name="Host Control  307"/>
        <xdr:cNvSpPr/>
      </xdr:nvSpPr>
      <xdr:spPr>
        <a:xfrm>
          <a:off x="0" y="5280660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309</xdr:row>
      <xdr:rowOff>0</xdr:rowOff>
    </xdr:from>
    <xdr:to>
      <xdr:col>1</xdr:col>
      <xdr:colOff>0</xdr:colOff>
      <xdr:row>311</xdr:row>
      <xdr:rowOff>104775</xdr:rowOff>
    </xdr:to>
    <xdr:sp>
      <xdr:nvSpPr>
        <xdr:cNvPr id="2356" name="Host Control  308"/>
        <xdr:cNvSpPr/>
      </xdr:nvSpPr>
      <xdr:spPr>
        <a:xfrm>
          <a:off x="0" y="529780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1</xdr:col>
      <xdr:colOff>0</xdr:colOff>
      <xdr:row>312</xdr:row>
      <xdr:rowOff>104775</xdr:rowOff>
    </xdr:to>
    <xdr:sp>
      <xdr:nvSpPr>
        <xdr:cNvPr id="2357" name="Host Control  309"/>
        <xdr:cNvSpPr/>
      </xdr:nvSpPr>
      <xdr:spPr>
        <a:xfrm>
          <a:off x="0" y="531495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1</xdr:col>
      <xdr:colOff>0</xdr:colOff>
      <xdr:row>313</xdr:row>
      <xdr:rowOff>104775</xdr:rowOff>
    </xdr:to>
    <xdr:sp>
      <xdr:nvSpPr>
        <xdr:cNvPr id="2358" name="Host Control  310"/>
        <xdr:cNvSpPr/>
      </xdr:nvSpPr>
      <xdr:spPr>
        <a:xfrm>
          <a:off x="0" y="533209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312</xdr:row>
      <xdr:rowOff>0</xdr:rowOff>
    </xdr:from>
    <xdr:to>
      <xdr:col>1</xdr:col>
      <xdr:colOff>0</xdr:colOff>
      <xdr:row>314</xdr:row>
      <xdr:rowOff>104775</xdr:rowOff>
    </xdr:to>
    <xdr:sp>
      <xdr:nvSpPr>
        <xdr:cNvPr id="2359" name="Host Control  311"/>
        <xdr:cNvSpPr/>
      </xdr:nvSpPr>
      <xdr:spPr>
        <a:xfrm>
          <a:off x="0" y="534924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313</xdr:row>
      <xdr:rowOff>0</xdr:rowOff>
    </xdr:from>
    <xdr:to>
      <xdr:col>1</xdr:col>
      <xdr:colOff>0</xdr:colOff>
      <xdr:row>316</xdr:row>
      <xdr:rowOff>85725</xdr:rowOff>
    </xdr:to>
    <xdr:sp>
      <xdr:nvSpPr>
        <xdr:cNvPr id="2360" name="Host Control  312"/>
        <xdr:cNvSpPr/>
      </xdr:nvSpPr>
      <xdr:spPr>
        <a:xfrm>
          <a:off x="0" y="5366385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314</xdr:row>
      <xdr:rowOff>0</xdr:rowOff>
    </xdr:from>
    <xdr:to>
      <xdr:col>1</xdr:col>
      <xdr:colOff>0</xdr:colOff>
      <xdr:row>317</xdr:row>
      <xdr:rowOff>85725</xdr:rowOff>
    </xdr:to>
    <xdr:sp>
      <xdr:nvSpPr>
        <xdr:cNvPr id="2361" name="Host Control  313"/>
        <xdr:cNvSpPr/>
      </xdr:nvSpPr>
      <xdr:spPr>
        <a:xfrm>
          <a:off x="0" y="5383530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1</xdr:col>
      <xdr:colOff>0</xdr:colOff>
      <xdr:row>318</xdr:row>
      <xdr:rowOff>95250</xdr:rowOff>
    </xdr:to>
    <xdr:sp>
      <xdr:nvSpPr>
        <xdr:cNvPr id="2362" name="Host Control  314"/>
        <xdr:cNvSpPr/>
      </xdr:nvSpPr>
      <xdr:spPr>
        <a:xfrm>
          <a:off x="0" y="54006750"/>
          <a:ext cx="685800" cy="6096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316</xdr:row>
      <xdr:rowOff>0</xdr:rowOff>
    </xdr:from>
    <xdr:to>
      <xdr:col>1</xdr:col>
      <xdr:colOff>0</xdr:colOff>
      <xdr:row>319</xdr:row>
      <xdr:rowOff>85725</xdr:rowOff>
    </xdr:to>
    <xdr:sp>
      <xdr:nvSpPr>
        <xdr:cNvPr id="2363" name="Host Control  315"/>
        <xdr:cNvSpPr/>
      </xdr:nvSpPr>
      <xdr:spPr>
        <a:xfrm>
          <a:off x="0" y="5417820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317</xdr:row>
      <xdr:rowOff>0</xdr:rowOff>
    </xdr:from>
    <xdr:to>
      <xdr:col>1</xdr:col>
      <xdr:colOff>0</xdr:colOff>
      <xdr:row>319</xdr:row>
      <xdr:rowOff>104775</xdr:rowOff>
    </xdr:to>
    <xdr:sp>
      <xdr:nvSpPr>
        <xdr:cNvPr id="2364" name="Host Control  316"/>
        <xdr:cNvSpPr/>
      </xdr:nvSpPr>
      <xdr:spPr>
        <a:xfrm>
          <a:off x="0" y="543496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318</xdr:row>
      <xdr:rowOff>0</xdr:rowOff>
    </xdr:from>
    <xdr:to>
      <xdr:col>1</xdr:col>
      <xdr:colOff>0</xdr:colOff>
      <xdr:row>320</xdr:row>
      <xdr:rowOff>104775</xdr:rowOff>
    </xdr:to>
    <xdr:sp>
      <xdr:nvSpPr>
        <xdr:cNvPr id="2365" name="Host Control  317"/>
        <xdr:cNvSpPr/>
      </xdr:nvSpPr>
      <xdr:spPr>
        <a:xfrm>
          <a:off x="0" y="545211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319</xdr:row>
      <xdr:rowOff>0</xdr:rowOff>
    </xdr:from>
    <xdr:to>
      <xdr:col>1</xdr:col>
      <xdr:colOff>0</xdr:colOff>
      <xdr:row>321</xdr:row>
      <xdr:rowOff>104775</xdr:rowOff>
    </xdr:to>
    <xdr:sp>
      <xdr:nvSpPr>
        <xdr:cNvPr id="2366" name="Host Control  318"/>
        <xdr:cNvSpPr/>
      </xdr:nvSpPr>
      <xdr:spPr>
        <a:xfrm>
          <a:off x="0" y="546925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1</xdr:col>
      <xdr:colOff>0</xdr:colOff>
      <xdr:row>323</xdr:row>
      <xdr:rowOff>85725</xdr:rowOff>
    </xdr:to>
    <xdr:sp>
      <xdr:nvSpPr>
        <xdr:cNvPr id="2367" name="Host Control  319"/>
        <xdr:cNvSpPr/>
      </xdr:nvSpPr>
      <xdr:spPr>
        <a:xfrm>
          <a:off x="0" y="5486400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1</xdr:col>
      <xdr:colOff>0</xdr:colOff>
      <xdr:row>323</xdr:row>
      <xdr:rowOff>104775</xdr:rowOff>
    </xdr:to>
    <xdr:sp>
      <xdr:nvSpPr>
        <xdr:cNvPr id="2368" name="Host Control  320"/>
        <xdr:cNvSpPr/>
      </xdr:nvSpPr>
      <xdr:spPr>
        <a:xfrm>
          <a:off x="0" y="550354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0</xdr:colOff>
      <xdr:row>5</xdr:row>
      <xdr:rowOff>76200</xdr:rowOff>
    </xdr:to>
    <xdr:sp>
      <xdr:nvSpPr>
        <xdr:cNvPr id="2369" name="Host Control  321"/>
        <xdr:cNvSpPr/>
      </xdr:nvSpPr>
      <xdr:spPr>
        <a:xfrm>
          <a:off x="0" y="3429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1</xdr:col>
      <xdr:colOff>0</xdr:colOff>
      <xdr:row>5</xdr:row>
      <xdr:rowOff>104775</xdr:rowOff>
    </xdr:to>
    <xdr:sp>
      <xdr:nvSpPr>
        <xdr:cNvPr id="2370" name="Host Control  322"/>
        <xdr:cNvSpPr/>
      </xdr:nvSpPr>
      <xdr:spPr>
        <a:xfrm>
          <a:off x="0" y="5143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0</xdr:colOff>
      <xdr:row>7</xdr:row>
      <xdr:rowOff>76200</xdr:rowOff>
    </xdr:to>
    <xdr:sp>
      <xdr:nvSpPr>
        <xdr:cNvPr id="2371" name="Host Control  323"/>
        <xdr:cNvSpPr/>
      </xdr:nvSpPr>
      <xdr:spPr>
        <a:xfrm>
          <a:off x="0" y="6858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0</xdr:colOff>
      <xdr:row>7</xdr:row>
      <xdr:rowOff>104775</xdr:rowOff>
    </xdr:to>
    <xdr:sp>
      <xdr:nvSpPr>
        <xdr:cNvPr id="2372" name="Host Control  324"/>
        <xdr:cNvSpPr/>
      </xdr:nvSpPr>
      <xdr:spPr>
        <a:xfrm>
          <a:off x="0" y="8572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0</xdr:colOff>
      <xdr:row>9</xdr:row>
      <xdr:rowOff>76200</xdr:rowOff>
    </xdr:to>
    <xdr:sp>
      <xdr:nvSpPr>
        <xdr:cNvPr id="2373" name="Host Control  325"/>
        <xdr:cNvSpPr/>
      </xdr:nvSpPr>
      <xdr:spPr>
        <a:xfrm>
          <a:off x="0" y="10287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0</xdr:colOff>
      <xdr:row>9</xdr:row>
      <xdr:rowOff>104775</xdr:rowOff>
    </xdr:to>
    <xdr:sp>
      <xdr:nvSpPr>
        <xdr:cNvPr id="2374" name="Host Control  326"/>
        <xdr:cNvSpPr/>
      </xdr:nvSpPr>
      <xdr:spPr>
        <a:xfrm>
          <a:off x="0" y="12001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1</xdr:col>
      <xdr:colOff>0</xdr:colOff>
      <xdr:row>10</xdr:row>
      <xdr:rowOff>104775</xdr:rowOff>
    </xdr:to>
    <xdr:sp>
      <xdr:nvSpPr>
        <xdr:cNvPr id="2375" name="Host Control  327"/>
        <xdr:cNvSpPr/>
      </xdr:nvSpPr>
      <xdr:spPr>
        <a:xfrm>
          <a:off x="0" y="13716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1</xdr:col>
      <xdr:colOff>0</xdr:colOff>
      <xdr:row>10</xdr:row>
      <xdr:rowOff>133350</xdr:rowOff>
    </xdr:to>
    <xdr:sp>
      <xdr:nvSpPr>
        <xdr:cNvPr id="2376" name="Host Control  328"/>
        <xdr:cNvSpPr/>
      </xdr:nvSpPr>
      <xdr:spPr>
        <a:xfrm>
          <a:off x="0" y="1543050"/>
          <a:ext cx="685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0</xdr:colOff>
      <xdr:row>12</xdr:row>
      <xdr:rowOff>104775</xdr:rowOff>
    </xdr:to>
    <xdr:sp>
      <xdr:nvSpPr>
        <xdr:cNvPr id="2377" name="Host Control  329"/>
        <xdr:cNvSpPr/>
      </xdr:nvSpPr>
      <xdr:spPr>
        <a:xfrm>
          <a:off x="0" y="17145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1</xdr:col>
      <xdr:colOff>0</xdr:colOff>
      <xdr:row>13</xdr:row>
      <xdr:rowOff>104775</xdr:rowOff>
    </xdr:to>
    <xdr:sp>
      <xdr:nvSpPr>
        <xdr:cNvPr id="2378" name="Host Control  330"/>
        <xdr:cNvSpPr/>
      </xdr:nvSpPr>
      <xdr:spPr>
        <a:xfrm>
          <a:off x="0" y="18859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1</xdr:col>
      <xdr:colOff>0</xdr:colOff>
      <xdr:row>14</xdr:row>
      <xdr:rowOff>104775</xdr:rowOff>
    </xdr:to>
    <xdr:sp>
      <xdr:nvSpPr>
        <xdr:cNvPr id="2379" name="Host Control  331"/>
        <xdr:cNvSpPr/>
      </xdr:nvSpPr>
      <xdr:spPr>
        <a:xfrm>
          <a:off x="0" y="20574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1</xdr:col>
      <xdr:colOff>0</xdr:colOff>
      <xdr:row>15</xdr:row>
      <xdr:rowOff>104775</xdr:rowOff>
    </xdr:to>
    <xdr:sp>
      <xdr:nvSpPr>
        <xdr:cNvPr id="2380" name="Host Control  332"/>
        <xdr:cNvSpPr/>
      </xdr:nvSpPr>
      <xdr:spPr>
        <a:xfrm>
          <a:off x="0" y="22288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1</xdr:col>
      <xdr:colOff>0</xdr:colOff>
      <xdr:row>16</xdr:row>
      <xdr:rowOff>104775</xdr:rowOff>
    </xdr:to>
    <xdr:sp>
      <xdr:nvSpPr>
        <xdr:cNvPr id="2381" name="Host Control  333"/>
        <xdr:cNvSpPr/>
      </xdr:nvSpPr>
      <xdr:spPr>
        <a:xfrm>
          <a:off x="0" y="24003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1</xdr:col>
      <xdr:colOff>0</xdr:colOff>
      <xdr:row>17</xdr:row>
      <xdr:rowOff>104775</xdr:rowOff>
    </xdr:to>
    <xdr:sp>
      <xdr:nvSpPr>
        <xdr:cNvPr id="2382" name="Host Control  334"/>
        <xdr:cNvSpPr/>
      </xdr:nvSpPr>
      <xdr:spPr>
        <a:xfrm>
          <a:off x="0" y="25717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1</xdr:col>
      <xdr:colOff>0</xdr:colOff>
      <xdr:row>19</xdr:row>
      <xdr:rowOff>85725</xdr:rowOff>
    </xdr:to>
    <xdr:sp>
      <xdr:nvSpPr>
        <xdr:cNvPr id="2383" name="Host Control  335"/>
        <xdr:cNvSpPr/>
      </xdr:nvSpPr>
      <xdr:spPr>
        <a:xfrm>
          <a:off x="0" y="274320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1</xdr:col>
      <xdr:colOff>0</xdr:colOff>
      <xdr:row>19</xdr:row>
      <xdr:rowOff>104775</xdr:rowOff>
    </xdr:to>
    <xdr:sp>
      <xdr:nvSpPr>
        <xdr:cNvPr id="2384" name="Host Control  336"/>
        <xdr:cNvSpPr/>
      </xdr:nvSpPr>
      <xdr:spPr>
        <a:xfrm>
          <a:off x="0" y="29146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1</xdr:col>
      <xdr:colOff>0</xdr:colOff>
      <xdr:row>20</xdr:row>
      <xdr:rowOff>104775</xdr:rowOff>
    </xdr:to>
    <xdr:sp>
      <xdr:nvSpPr>
        <xdr:cNvPr id="2385" name="Host Control  337"/>
        <xdr:cNvSpPr/>
      </xdr:nvSpPr>
      <xdr:spPr>
        <a:xfrm>
          <a:off x="0" y="30861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1</xdr:col>
      <xdr:colOff>0</xdr:colOff>
      <xdr:row>21</xdr:row>
      <xdr:rowOff>104775</xdr:rowOff>
    </xdr:to>
    <xdr:sp>
      <xdr:nvSpPr>
        <xdr:cNvPr id="2386" name="Host Control  338"/>
        <xdr:cNvSpPr/>
      </xdr:nvSpPr>
      <xdr:spPr>
        <a:xfrm>
          <a:off x="0" y="32575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1</xdr:col>
      <xdr:colOff>0</xdr:colOff>
      <xdr:row>22</xdr:row>
      <xdr:rowOff>104775</xdr:rowOff>
    </xdr:to>
    <xdr:sp>
      <xdr:nvSpPr>
        <xdr:cNvPr id="2387" name="Host Control  339"/>
        <xdr:cNvSpPr/>
      </xdr:nvSpPr>
      <xdr:spPr>
        <a:xfrm>
          <a:off x="0" y="34290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1</xdr:col>
      <xdr:colOff>0</xdr:colOff>
      <xdr:row>23</xdr:row>
      <xdr:rowOff>104775</xdr:rowOff>
    </xdr:to>
    <xdr:sp>
      <xdr:nvSpPr>
        <xdr:cNvPr id="2388" name="Host Control  340"/>
        <xdr:cNvSpPr/>
      </xdr:nvSpPr>
      <xdr:spPr>
        <a:xfrm>
          <a:off x="0" y="36004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1</xdr:col>
      <xdr:colOff>0</xdr:colOff>
      <xdr:row>24</xdr:row>
      <xdr:rowOff>104775</xdr:rowOff>
    </xdr:to>
    <xdr:sp>
      <xdr:nvSpPr>
        <xdr:cNvPr id="2389" name="Host Control  341"/>
        <xdr:cNvSpPr/>
      </xdr:nvSpPr>
      <xdr:spPr>
        <a:xfrm>
          <a:off x="0" y="37719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1</xdr:col>
      <xdr:colOff>0</xdr:colOff>
      <xdr:row>25</xdr:row>
      <xdr:rowOff>104775</xdr:rowOff>
    </xdr:to>
    <xdr:sp>
      <xdr:nvSpPr>
        <xdr:cNvPr id="2390" name="Host Control  342"/>
        <xdr:cNvSpPr/>
      </xdr:nvSpPr>
      <xdr:spPr>
        <a:xfrm>
          <a:off x="0" y="39433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1</xdr:col>
      <xdr:colOff>0</xdr:colOff>
      <xdr:row>25</xdr:row>
      <xdr:rowOff>133350</xdr:rowOff>
    </xdr:to>
    <xdr:sp>
      <xdr:nvSpPr>
        <xdr:cNvPr id="2391" name="Host Control  343"/>
        <xdr:cNvSpPr/>
      </xdr:nvSpPr>
      <xdr:spPr>
        <a:xfrm>
          <a:off x="0" y="4114800"/>
          <a:ext cx="685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1</xdr:col>
      <xdr:colOff>0</xdr:colOff>
      <xdr:row>27</xdr:row>
      <xdr:rowOff>104775</xdr:rowOff>
    </xdr:to>
    <xdr:sp>
      <xdr:nvSpPr>
        <xdr:cNvPr id="2392" name="Host Control  344"/>
        <xdr:cNvSpPr/>
      </xdr:nvSpPr>
      <xdr:spPr>
        <a:xfrm>
          <a:off x="0" y="42862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1</xdr:col>
      <xdr:colOff>0</xdr:colOff>
      <xdr:row>29</xdr:row>
      <xdr:rowOff>76200</xdr:rowOff>
    </xdr:to>
    <xdr:sp>
      <xdr:nvSpPr>
        <xdr:cNvPr id="2393" name="Host Control  345"/>
        <xdr:cNvSpPr/>
      </xdr:nvSpPr>
      <xdr:spPr>
        <a:xfrm>
          <a:off x="0" y="44577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1</xdr:col>
      <xdr:colOff>0</xdr:colOff>
      <xdr:row>29</xdr:row>
      <xdr:rowOff>104775</xdr:rowOff>
    </xdr:to>
    <xdr:sp>
      <xdr:nvSpPr>
        <xdr:cNvPr id="2394" name="Host Control  346"/>
        <xdr:cNvSpPr/>
      </xdr:nvSpPr>
      <xdr:spPr>
        <a:xfrm>
          <a:off x="0" y="46291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1</xdr:col>
      <xdr:colOff>0</xdr:colOff>
      <xdr:row>30</xdr:row>
      <xdr:rowOff>104775</xdr:rowOff>
    </xdr:to>
    <xdr:sp>
      <xdr:nvSpPr>
        <xdr:cNvPr id="2395" name="Host Control  347"/>
        <xdr:cNvSpPr/>
      </xdr:nvSpPr>
      <xdr:spPr>
        <a:xfrm>
          <a:off x="0" y="48006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1</xdr:col>
      <xdr:colOff>0</xdr:colOff>
      <xdr:row>31</xdr:row>
      <xdr:rowOff>104775</xdr:rowOff>
    </xdr:to>
    <xdr:sp>
      <xdr:nvSpPr>
        <xdr:cNvPr id="2396" name="Host Control  348"/>
        <xdr:cNvSpPr/>
      </xdr:nvSpPr>
      <xdr:spPr>
        <a:xfrm>
          <a:off x="0" y="49720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1</xdr:col>
      <xdr:colOff>0</xdr:colOff>
      <xdr:row>33</xdr:row>
      <xdr:rowOff>76200</xdr:rowOff>
    </xdr:to>
    <xdr:sp>
      <xdr:nvSpPr>
        <xdr:cNvPr id="2397" name="Host Control  349"/>
        <xdr:cNvSpPr/>
      </xdr:nvSpPr>
      <xdr:spPr>
        <a:xfrm>
          <a:off x="0" y="51435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1</xdr:col>
      <xdr:colOff>0</xdr:colOff>
      <xdr:row>33</xdr:row>
      <xdr:rowOff>104775</xdr:rowOff>
    </xdr:to>
    <xdr:sp>
      <xdr:nvSpPr>
        <xdr:cNvPr id="2398" name="Host Control  350"/>
        <xdr:cNvSpPr/>
      </xdr:nvSpPr>
      <xdr:spPr>
        <a:xfrm>
          <a:off x="0" y="53149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1</xdr:col>
      <xdr:colOff>0</xdr:colOff>
      <xdr:row>34</xdr:row>
      <xdr:rowOff>104775</xdr:rowOff>
    </xdr:to>
    <xdr:sp>
      <xdr:nvSpPr>
        <xdr:cNvPr id="2399" name="Host Control  351"/>
        <xdr:cNvSpPr/>
      </xdr:nvSpPr>
      <xdr:spPr>
        <a:xfrm>
          <a:off x="0" y="54864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1</xdr:col>
      <xdr:colOff>0</xdr:colOff>
      <xdr:row>35</xdr:row>
      <xdr:rowOff>104775</xdr:rowOff>
    </xdr:to>
    <xdr:sp>
      <xdr:nvSpPr>
        <xdr:cNvPr id="2400" name="Host Control  352"/>
        <xdr:cNvSpPr/>
      </xdr:nvSpPr>
      <xdr:spPr>
        <a:xfrm>
          <a:off x="0" y="56578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1</xdr:col>
      <xdr:colOff>0</xdr:colOff>
      <xdr:row>36</xdr:row>
      <xdr:rowOff>104775</xdr:rowOff>
    </xdr:to>
    <xdr:sp>
      <xdr:nvSpPr>
        <xdr:cNvPr id="2401" name="Host Control  353"/>
        <xdr:cNvSpPr/>
      </xdr:nvSpPr>
      <xdr:spPr>
        <a:xfrm>
          <a:off x="0" y="58293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1</xdr:col>
      <xdr:colOff>0</xdr:colOff>
      <xdr:row>37</xdr:row>
      <xdr:rowOff>104775</xdr:rowOff>
    </xdr:to>
    <xdr:sp>
      <xdr:nvSpPr>
        <xdr:cNvPr id="2402" name="Host Control  354"/>
        <xdr:cNvSpPr/>
      </xdr:nvSpPr>
      <xdr:spPr>
        <a:xfrm>
          <a:off x="0" y="60007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1</xdr:col>
      <xdr:colOff>0</xdr:colOff>
      <xdr:row>38</xdr:row>
      <xdr:rowOff>104775</xdr:rowOff>
    </xdr:to>
    <xdr:sp>
      <xdr:nvSpPr>
        <xdr:cNvPr id="2403" name="Host Control  355"/>
        <xdr:cNvSpPr/>
      </xdr:nvSpPr>
      <xdr:spPr>
        <a:xfrm>
          <a:off x="0" y="61722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1</xdr:col>
      <xdr:colOff>0</xdr:colOff>
      <xdr:row>39</xdr:row>
      <xdr:rowOff>104775</xdr:rowOff>
    </xdr:to>
    <xdr:sp>
      <xdr:nvSpPr>
        <xdr:cNvPr id="2404" name="Host Control  356"/>
        <xdr:cNvSpPr/>
      </xdr:nvSpPr>
      <xdr:spPr>
        <a:xfrm>
          <a:off x="0" y="63436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1</xdr:col>
      <xdr:colOff>0</xdr:colOff>
      <xdr:row>40</xdr:row>
      <xdr:rowOff>104775</xdr:rowOff>
    </xdr:to>
    <xdr:sp>
      <xdr:nvSpPr>
        <xdr:cNvPr id="2405" name="Host Control  357"/>
        <xdr:cNvSpPr/>
      </xdr:nvSpPr>
      <xdr:spPr>
        <a:xfrm>
          <a:off x="0" y="65151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1</xdr:col>
      <xdr:colOff>0</xdr:colOff>
      <xdr:row>41</xdr:row>
      <xdr:rowOff>104775</xdr:rowOff>
    </xdr:to>
    <xdr:sp>
      <xdr:nvSpPr>
        <xdr:cNvPr id="2406" name="Host Control  358"/>
        <xdr:cNvSpPr/>
      </xdr:nvSpPr>
      <xdr:spPr>
        <a:xfrm>
          <a:off x="0" y="66865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1</xdr:col>
      <xdr:colOff>0</xdr:colOff>
      <xdr:row>42</xdr:row>
      <xdr:rowOff>104775</xdr:rowOff>
    </xdr:to>
    <xdr:sp>
      <xdr:nvSpPr>
        <xdr:cNvPr id="2407" name="Host Control  359"/>
        <xdr:cNvSpPr/>
      </xdr:nvSpPr>
      <xdr:spPr>
        <a:xfrm>
          <a:off x="0" y="68580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1</xdr:col>
      <xdr:colOff>0</xdr:colOff>
      <xdr:row>43</xdr:row>
      <xdr:rowOff>104775</xdr:rowOff>
    </xdr:to>
    <xdr:sp>
      <xdr:nvSpPr>
        <xdr:cNvPr id="2408" name="Host Control  360"/>
        <xdr:cNvSpPr/>
      </xdr:nvSpPr>
      <xdr:spPr>
        <a:xfrm>
          <a:off x="0" y="70294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1</xdr:col>
      <xdr:colOff>0</xdr:colOff>
      <xdr:row>44</xdr:row>
      <xdr:rowOff>104775</xdr:rowOff>
    </xdr:to>
    <xdr:sp>
      <xdr:nvSpPr>
        <xdr:cNvPr id="2409" name="Host Control  361"/>
        <xdr:cNvSpPr/>
      </xdr:nvSpPr>
      <xdr:spPr>
        <a:xfrm>
          <a:off x="0" y="72009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1</xdr:col>
      <xdr:colOff>0</xdr:colOff>
      <xdr:row>45</xdr:row>
      <xdr:rowOff>104775</xdr:rowOff>
    </xdr:to>
    <xdr:sp>
      <xdr:nvSpPr>
        <xdr:cNvPr id="2410" name="Host Control  362"/>
        <xdr:cNvSpPr/>
      </xdr:nvSpPr>
      <xdr:spPr>
        <a:xfrm>
          <a:off x="0" y="73723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0</xdr:colOff>
      <xdr:row>46</xdr:row>
      <xdr:rowOff>104775</xdr:rowOff>
    </xdr:to>
    <xdr:sp>
      <xdr:nvSpPr>
        <xdr:cNvPr id="2411" name="Host Control  363"/>
        <xdr:cNvSpPr/>
      </xdr:nvSpPr>
      <xdr:spPr>
        <a:xfrm>
          <a:off x="0" y="75438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0</xdr:colOff>
      <xdr:row>47</xdr:row>
      <xdr:rowOff>104775</xdr:rowOff>
    </xdr:to>
    <xdr:sp>
      <xdr:nvSpPr>
        <xdr:cNvPr id="2412" name="Host Control  364"/>
        <xdr:cNvSpPr/>
      </xdr:nvSpPr>
      <xdr:spPr>
        <a:xfrm>
          <a:off x="0" y="77152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0</xdr:colOff>
      <xdr:row>48</xdr:row>
      <xdr:rowOff>104775</xdr:rowOff>
    </xdr:to>
    <xdr:sp>
      <xdr:nvSpPr>
        <xdr:cNvPr id="2413" name="Host Control  365"/>
        <xdr:cNvSpPr/>
      </xdr:nvSpPr>
      <xdr:spPr>
        <a:xfrm>
          <a:off x="0" y="78867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0</xdr:colOff>
      <xdr:row>50</xdr:row>
      <xdr:rowOff>85725</xdr:rowOff>
    </xdr:to>
    <xdr:sp>
      <xdr:nvSpPr>
        <xdr:cNvPr id="2414" name="Host Control  366"/>
        <xdr:cNvSpPr/>
      </xdr:nvSpPr>
      <xdr:spPr>
        <a:xfrm>
          <a:off x="0" y="805815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0</xdr:colOff>
      <xdr:row>50</xdr:row>
      <xdr:rowOff>104775</xdr:rowOff>
    </xdr:to>
    <xdr:sp>
      <xdr:nvSpPr>
        <xdr:cNvPr id="2415" name="Host Control  367"/>
        <xdr:cNvSpPr/>
      </xdr:nvSpPr>
      <xdr:spPr>
        <a:xfrm>
          <a:off x="0" y="82296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0</xdr:colOff>
      <xdr:row>51</xdr:row>
      <xdr:rowOff>104775</xdr:rowOff>
    </xdr:to>
    <xdr:sp>
      <xdr:nvSpPr>
        <xdr:cNvPr id="2416" name="Host Control  368"/>
        <xdr:cNvSpPr/>
      </xdr:nvSpPr>
      <xdr:spPr>
        <a:xfrm>
          <a:off x="0" y="84010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0</xdr:colOff>
      <xdr:row>52</xdr:row>
      <xdr:rowOff>104775</xdr:rowOff>
    </xdr:to>
    <xdr:sp>
      <xdr:nvSpPr>
        <xdr:cNvPr id="2417" name="Host Control  369"/>
        <xdr:cNvSpPr/>
      </xdr:nvSpPr>
      <xdr:spPr>
        <a:xfrm>
          <a:off x="0" y="85725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1</xdr:col>
      <xdr:colOff>0</xdr:colOff>
      <xdr:row>53</xdr:row>
      <xdr:rowOff>104775</xdr:rowOff>
    </xdr:to>
    <xdr:sp>
      <xdr:nvSpPr>
        <xdr:cNvPr id="2418" name="Host Control  370"/>
        <xdr:cNvSpPr/>
      </xdr:nvSpPr>
      <xdr:spPr>
        <a:xfrm>
          <a:off x="0" y="87439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1</xdr:col>
      <xdr:colOff>0</xdr:colOff>
      <xdr:row>55</xdr:row>
      <xdr:rowOff>76200</xdr:rowOff>
    </xdr:to>
    <xdr:sp>
      <xdr:nvSpPr>
        <xdr:cNvPr id="2419" name="Host Control  371"/>
        <xdr:cNvSpPr/>
      </xdr:nvSpPr>
      <xdr:spPr>
        <a:xfrm>
          <a:off x="0" y="89154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1</xdr:col>
      <xdr:colOff>0</xdr:colOff>
      <xdr:row>56</xdr:row>
      <xdr:rowOff>85725</xdr:rowOff>
    </xdr:to>
    <xdr:sp>
      <xdr:nvSpPr>
        <xdr:cNvPr id="2420" name="Host Control  372"/>
        <xdr:cNvSpPr/>
      </xdr:nvSpPr>
      <xdr:spPr>
        <a:xfrm>
          <a:off x="0" y="908685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1</xdr:col>
      <xdr:colOff>0</xdr:colOff>
      <xdr:row>57</xdr:row>
      <xdr:rowOff>76200</xdr:rowOff>
    </xdr:to>
    <xdr:sp>
      <xdr:nvSpPr>
        <xdr:cNvPr id="2421" name="Host Control  373"/>
        <xdr:cNvSpPr/>
      </xdr:nvSpPr>
      <xdr:spPr>
        <a:xfrm>
          <a:off x="0" y="92583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1</xdr:col>
      <xdr:colOff>0</xdr:colOff>
      <xdr:row>57</xdr:row>
      <xdr:rowOff>104775</xdr:rowOff>
    </xdr:to>
    <xdr:sp>
      <xdr:nvSpPr>
        <xdr:cNvPr id="2422" name="Host Control  374"/>
        <xdr:cNvSpPr/>
      </xdr:nvSpPr>
      <xdr:spPr>
        <a:xfrm>
          <a:off x="0" y="94297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1</xdr:col>
      <xdr:colOff>0</xdr:colOff>
      <xdr:row>59</xdr:row>
      <xdr:rowOff>76200</xdr:rowOff>
    </xdr:to>
    <xdr:sp>
      <xdr:nvSpPr>
        <xdr:cNvPr id="2423" name="Host Control  375"/>
        <xdr:cNvSpPr/>
      </xdr:nvSpPr>
      <xdr:spPr>
        <a:xfrm>
          <a:off x="0" y="96012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1</xdr:col>
      <xdr:colOff>0</xdr:colOff>
      <xdr:row>59</xdr:row>
      <xdr:rowOff>104775</xdr:rowOff>
    </xdr:to>
    <xdr:sp>
      <xdr:nvSpPr>
        <xdr:cNvPr id="2424" name="Host Control  376"/>
        <xdr:cNvSpPr/>
      </xdr:nvSpPr>
      <xdr:spPr>
        <a:xfrm>
          <a:off x="0" y="97726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1</xdr:col>
      <xdr:colOff>0</xdr:colOff>
      <xdr:row>60</xdr:row>
      <xdr:rowOff>104775</xdr:rowOff>
    </xdr:to>
    <xdr:sp>
      <xdr:nvSpPr>
        <xdr:cNvPr id="2425" name="Host Control  377"/>
        <xdr:cNvSpPr/>
      </xdr:nvSpPr>
      <xdr:spPr>
        <a:xfrm>
          <a:off x="0" y="99441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1</xdr:col>
      <xdr:colOff>0</xdr:colOff>
      <xdr:row>61</xdr:row>
      <xdr:rowOff>114300</xdr:rowOff>
    </xdr:to>
    <xdr:sp>
      <xdr:nvSpPr>
        <xdr:cNvPr id="2426" name="Host Control  378"/>
        <xdr:cNvSpPr/>
      </xdr:nvSpPr>
      <xdr:spPr>
        <a:xfrm>
          <a:off x="0" y="1011555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1</xdr:col>
      <xdr:colOff>0</xdr:colOff>
      <xdr:row>62</xdr:row>
      <xdr:rowOff>104775</xdr:rowOff>
    </xdr:to>
    <xdr:sp>
      <xdr:nvSpPr>
        <xdr:cNvPr id="2427" name="Host Control  379"/>
        <xdr:cNvSpPr/>
      </xdr:nvSpPr>
      <xdr:spPr>
        <a:xfrm>
          <a:off x="0" y="102870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1</xdr:col>
      <xdr:colOff>0</xdr:colOff>
      <xdr:row>63</xdr:row>
      <xdr:rowOff>104775</xdr:rowOff>
    </xdr:to>
    <xdr:sp>
      <xdr:nvSpPr>
        <xdr:cNvPr id="2428" name="Host Control  380"/>
        <xdr:cNvSpPr/>
      </xdr:nvSpPr>
      <xdr:spPr>
        <a:xfrm>
          <a:off x="0" y="104584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1</xdr:col>
      <xdr:colOff>0</xdr:colOff>
      <xdr:row>64</xdr:row>
      <xdr:rowOff>104775</xdr:rowOff>
    </xdr:to>
    <xdr:sp>
      <xdr:nvSpPr>
        <xdr:cNvPr id="2429" name="Host Control  381"/>
        <xdr:cNvSpPr/>
      </xdr:nvSpPr>
      <xdr:spPr>
        <a:xfrm>
          <a:off x="0" y="106299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1</xdr:col>
      <xdr:colOff>0</xdr:colOff>
      <xdr:row>66</xdr:row>
      <xdr:rowOff>76200</xdr:rowOff>
    </xdr:to>
    <xdr:sp>
      <xdr:nvSpPr>
        <xdr:cNvPr id="2430" name="Host Control  382"/>
        <xdr:cNvSpPr/>
      </xdr:nvSpPr>
      <xdr:spPr>
        <a:xfrm>
          <a:off x="0" y="108013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1</xdr:col>
      <xdr:colOff>0</xdr:colOff>
      <xdr:row>66</xdr:row>
      <xdr:rowOff>104775</xdr:rowOff>
    </xdr:to>
    <xdr:sp>
      <xdr:nvSpPr>
        <xdr:cNvPr id="2431" name="Host Control  383"/>
        <xdr:cNvSpPr/>
      </xdr:nvSpPr>
      <xdr:spPr>
        <a:xfrm>
          <a:off x="0" y="109728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1</xdr:col>
      <xdr:colOff>0</xdr:colOff>
      <xdr:row>68</xdr:row>
      <xdr:rowOff>85725</xdr:rowOff>
    </xdr:to>
    <xdr:sp>
      <xdr:nvSpPr>
        <xdr:cNvPr id="2432" name="Host Control  384"/>
        <xdr:cNvSpPr/>
      </xdr:nvSpPr>
      <xdr:spPr>
        <a:xfrm>
          <a:off x="0" y="1114425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1</xdr:col>
      <xdr:colOff>0</xdr:colOff>
      <xdr:row>68</xdr:row>
      <xdr:rowOff>104775</xdr:rowOff>
    </xdr:to>
    <xdr:sp>
      <xdr:nvSpPr>
        <xdr:cNvPr id="2433" name="Host Control  385"/>
        <xdr:cNvSpPr/>
      </xdr:nvSpPr>
      <xdr:spPr>
        <a:xfrm>
          <a:off x="0" y="113157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1</xdr:col>
      <xdr:colOff>0</xdr:colOff>
      <xdr:row>69</xdr:row>
      <xdr:rowOff>104775</xdr:rowOff>
    </xdr:to>
    <xdr:sp>
      <xdr:nvSpPr>
        <xdr:cNvPr id="2434" name="Host Control  386"/>
        <xdr:cNvSpPr/>
      </xdr:nvSpPr>
      <xdr:spPr>
        <a:xfrm>
          <a:off x="0" y="114871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1</xdr:col>
      <xdr:colOff>0</xdr:colOff>
      <xdr:row>71</xdr:row>
      <xdr:rowOff>76200</xdr:rowOff>
    </xdr:to>
    <xdr:sp>
      <xdr:nvSpPr>
        <xdr:cNvPr id="2435" name="Host Control  387"/>
        <xdr:cNvSpPr/>
      </xdr:nvSpPr>
      <xdr:spPr>
        <a:xfrm>
          <a:off x="0" y="116586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1</xdr:col>
      <xdr:colOff>0</xdr:colOff>
      <xdr:row>71</xdr:row>
      <xdr:rowOff>104775</xdr:rowOff>
    </xdr:to>
    <xdr:sp>
      <xdr:nvSpPr>
        <xdr:cNvPr id="2436" name="Host Control  388"/>
        <xdr:cNvSpPr/>
      </xdr:nvSpPr>
      <xdr:spPr>
        <a:xfrm>
          <a:off x="0" y="118300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0</xdr:colOff>
      <xdr:row>72</xdr:row>
      <xdr:rowOff>104775</xdr:rowOff>
    </xdr:to>
    <xdr:sp>
      <xdr:nvSpPr>
        <xdr:cNvPr id="2437" name="Host Control  389"/>
        <xdr:cNvSpPr/>
      </xdr:nvSpPr>
      <xdr:spPr>
        <a:xfrm>
          <a:off x="0" y="120015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1</xdr:col>
      <xdr:colOff>0</xdr:colOff>
      <xdr:row>73</xdr:row>
      <xdr:rowOff>104775</xdr:rowOff>
    </xdr:to>
    <xdr:sp>
      <xdr:nvSpPr>
        <xdr:cNvPr id="2438" name="Host Control  390"/>
        <xdr:cNvSpPr/>
      </xdr:nvSpPr>
      <xdr:spPr>
        <a:xfrm>
          <a:off x="0" y="121729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1</xdr:col>
      <xdr:colOff>0</xdr:colOff>
      <xdr:row>74</xdr:row>
      <xdr:rowOff>104775</xdr:rowOff>
    </xdr:to>
    <xdr:sp>
      <xdr:nvSpPr>
        <xdr:cNvPr id="2439" name="Host Control  391"/>
        <xdr:cNvSpPr/>
      </xdr:nvSpPr>
      <xdr:spPr>
        <a:xfrm>
          <a:off x="0" y="123444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1</xdr:col>
      <xdr:colOff>0</xdr:colOff>
      <xdr:row>75</xdr:row>
      <xdr:rowOff>104775</xdr:rowOff>
    </xdr:to>
    <xdr:sp>
      <xdr:nvSpPr>
        <xdr:cNvPr id="2440" name="Host Control  392"/>
        <xdr:cNvSpPr/>
      </xdr:nvSpPr>
      <xdr:spPr>
        <a:xfrm>
          <a:off x="0" y="125158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1</xdr:col>
      <xdr:colOff>0</xdr:colOff>
      <xdr:row>77</xdr:row>
      <xdr:rowOff>85725</xdr:rowOff>
    </xdr:to>
    <xdr:sp>
      <xdr:nvSpPr>
        <xdr:cNvPr id="2441" name="Host Control  393"/>
        <xdr:cNvSpPr/>
      </xdr:nvSpPr>
      <xdr:spPr>
        <a:xfrm>
          <a:off x="0" y="1268730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1</xdr:col>
      <xdr:colOff>0</xdr:colOff>
      <xdr:row>77</xdr:row>
      <xdr:rowOff>104775</xdr:rowOff>
    </xdr:to>
    <xdr:sp>
      <xdr:nvSpPr>
        <xdr:cNvPr id="2442" name="Host Control  394"/>
        <xdr:cNvSpPr/>
      </xdr:nvSpPr>
      <xdr:spPr>
        <a:xfrm>
          <a:off x="0" y="128587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76</xdr:row>
      <xdr:rowOff>0</xdr:rowOff>
    </xdr:from>
    <xdr:to>
      <xdr:col>1</xdr:col>
      <xdr:colOff>0</xdr:colOff>
      <xdr:row>78</xdr:row>
      <xdr:rowOff>104775</xdr:rowOff>
    </xdr:to>
    <xdr:sp>
      <xdr:nvSpPr>
        <xdr:cNvPr id="2443" name="Host Control  395"/>
        <xdr:cNvSpPr/>
      </xdr:nvSpPr>
      <xdr:spPr>
        <a:xfrm>
          <a:off x="0" y="130302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1</xdr:col>
      <xdr:colOff>0</xdr:colOff>
      <xdr:row>79</xdr:row>
      <xdr:rowOff>114300</xdr:rowOff>
    </xdr:to>
    <xdr:sp>
      <xdr:nvSpPr>
        <xdr:cNvPr id="2444" name="Host Control  396"/>
        <xdr:cNvSpPr/>
      </xdr:nvSpPr>
      <xdr:spPr>
        <a:xfrm>
          <a:off x="0" y="1320165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78</xdr:row>
      <xdr:rowOff>0</xdr:rowOff>
    </xdr:from>
    <xdr:to>
      <xdr:col>1</xdr:col>
      <xdr:colOff>0</xdr:colOff>
      <xdr:row>81</xdr:row>
      <xdr:rowOff>76200</xdr:rowOff>
    </xdr:to>
    <xdr:sp>
      <xdr:nvSpPr>
        <xdr:cNvPr id="2445" name="Host Control  397"/>
        <xdr:cNvSpPr/>
      </xdr:nvSpPr>
      <xdr:spPr>
        <a:xfrm>
          <a:off x="0" y="133731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79</xdr:row>
      <xdr:rowOff>0</xdr:rowOff>
    </xdr:from>
    <xdr:to>
      <xdr:col>1</xdr:col>
      <xdr:colOff>0</xdr:colOff>
      <xdr:row>81</xdr:row>
      <xdr:rowOff>114300</xdr:rowOff>
    </xdr:to>
    <xdr:sp>
      <xdr:nvSpPr>
        <xdr:cNvPr id="2446" name="Host Control  398"/>
        <xdr:cNvSpPr/>
      </xdr:nvSpPr>
      <xdr:spPr>
        <a:xfrm>
          <a:off x="0" y="1354455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1</xdr:col>
      <xdr:colOff>0</xdr:colOff>
      <xdr:row>82</xdr:row>
      <xdr:rowOff>104775</xdr:rowOff>
    </xdr:to>
    <xdr:sp>
      <xdr:nvSpPr>
        <xdr:cNvPr id="2447" name="Host Control  399"/>
        <xdr:cNvSpPr/>
      </xdr:nvSpPr>
      <xdr:spPr>
        <a:xfrm>
          <a:off x="0" y="137160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1</xdr:col>
      <xdr:colOff>0</xdr:colOff>
      <xdr:row>84</xdr:row>
      <xdr:rowOff>76200</xdr:rowOff>
    </xdr:to>
    <xdr:sp>
      <xdr:nvSpPr>
        <xdr:cNvPr id="2448" name="Host Control  400"/>
        <xdr:cNvSpPr/>
      </xdr:nvSpPr>
      <xdr:spPr>
        <a:xfrm>
          <a:off x="0" y="138874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1</xdr:col>
      <xdr:colOff>0</xdr:colOff>
      <xdr:row>84</xdr:row>
      <xdr:rowOff>104775</xdr:rowOff>
    </xdr:to>
    <xdr:sp>
      <xdr:nvSpPr>
        <xdr:cNvPr id="2449" name="Host Control  401"/>
        <xdr:cNvSpPr/>
      </xdr:nvSpPr>
      <xdr:spPr>
        <a:xfrm>
          <a:off x="0" y="140589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1</xdr:col>
      <xdr:colOff>0</xdr:colOff>
      <xdr:row>85</xdr:row>
      <xdr:rowOff>104775</xdr:rowOff>
    </xdr:to>
    <xdr:sp>
      <xdr:nvSpPr>
        <xdr:cNvPr id="2450" name="Host Control  402"/>
        <xdr:cNvSpPr/>
      </xdr:nvSpPr>
      <xdr:spPr>
        <a:xfrm>
          <a:off x="0" y="142303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1</xdr:col>
      <xdr:colOff>0</xdr:colOff>
      <xdr:row>86</xdr:row>
      <xdr:rowOff>104775</xdr:rowOff>
    </xdr:to>
    <xdr:sp>
      <xdr:nvSpPr>
        <xdr:cNvPr id="2451" name="Host Control  403"/>
        <xdr:cNvSpPr/>
      </xdr:nvSpPr>
      <xdr:spPr>
        <a:xfrm>
          <a:off x="0" y="144018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1</xdr:col>
      <xdr:colOff>0</xdr:colOff>
      <xdr:row>87</xdr:row>
      <xdr:rowOff>104775</xdr:rowOff>
    </xdr:to>
    <xdr:sp>
      <xdr:nvSpPr>
        <xdr:cNvPr id="2452" name="Host Control  404"/>
        <xdr:cNvSpPr/>
      </xdr:nvSpPr>
      <xdr:spPr>
        <a:xfrm>
          <a:off x="0" y="145732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1</xdr:col>
      <xdr:colOff>0</xdr:colOff>
      <xdr:row>88</xdr:row>
      <xdr:rowOff>104775</xdr:rowOff>
    </xdr:to>
    <xdr:sp>
      <xdr:nvSpPr>
        <xdr:cNvPr id="2453" name="Host Control  405"/>
        <xdr:cNvSpPr/>
      </xdr:nvSpPr>
      <xdr:spPr>
        <a:xfrm>
          <a:off x="0" y="147447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1</xdr:col>
      <xdr:colOff>0</xdr:colOff>
      <xdr:row>89</xdr:row>
      <xdr:rowOff>104775</xdr:rowOff>
    </xdr:to>
    <xdr:sp>
      <xdr:nvSpPr>
        <xdr:cNvPr id="2454" name="Host Control  406"/>
        <xdr:cNvSpPr/>
      </xdr:nvSpPr>
      <xdr:spPr>
        <a:xfrm>
          <a:off x="0" y="149161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88</xdr:row>
      <xdr:rowOff>0</xdr:rowOff>
    </xdr:from>
    <xdr:to>
      <xdr:col>1</xdr:col>
      <xdr:colOff>0</xdr:colOff>
      <xdr:row>91</xdr:row>
      <xdr:rowOff>76200</xdr:rowOff>
    </xdr:to>
    <xdr:sp>
      <xdr:nvSpPr>
        <xdr:cNvPr id="2455" name="Host Control  407"/>
        <xdr:cNvSpPr/>
      </xdr:nvSpPr>
      <xdr:spPr>
        <a:xfrm>
          <a:off x="0" y="150876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1</xdr:col>
      <xdr:colOff>0</xdr:colOff>
      <xdr:row>92</xdr:row>
      <xdr:rowOff>76200</xdr:rowOff>
    </xdr:to>
    <xdr:sp>
      <xdr:nvSpPr>
        <xdr:cNvPr id="2456" name="Host Control  408"/>
        <xdr:cNvSpPr/>
      </xdr:nvSpPr>
      <xdr:spPr>
        <a:xfrm>
          <a:off x="0" y="152590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1</xdr:col>
      <xdr:colOff>0</xdr:colOff>
      <xdr:row>92</xdr:row>
      <xdr:rowOff>104775</xdr:rowOff>
    </xdr:to>
    <xdr:sp>
      <xdr:nvSpPr>
        <xdr:cNvPr id="2457" name="Host Control  409"/>
        <xdr:cNvSpPr/>
      </xdr:nvSpPr>
      <xdr:spPr>
        <a:xfrm>
          <a:off x="0" y="154305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1</xdr:col>
      <xdr:colOff>0</xdr:colOff>
      <xdr:row>94</xdr:row>
      <xdr:rowOff>95250</xdr:rowOff>
    </xdr:to>
    <xdr:sp>
      <xdr:nvSpPr>
        <xdr:cNvPr id="2458" name="Host Control  410"/>
        <xdr:cNvSpPr/>
      </xdr:nvSpPr>
      <xdr:spPr>
        <a:xfrm>
          <a:off x="0" y="15601950"/>
          <a:ext cx="685800" cy="6096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1</xdr:col>
      <xdr:colOff>0</xdr:colOff>
      <xdr:row>95</xdr:row>
      <xdr:rowOff>95250</xdr:rowOff>
    </xdr:to>
    <xdr:sp>
      <xdr:nvSpPr>
        <xdr:cNvPr id="2459" name="Host Control  411"/>
        <xdr:cNvSpPr/>
      </xdr:nvSpPr>
      <xdr:spPr>
        <a:xfrm>
          <a:off x="0" y="15773400"/>
          <a:ext cx="685800" cy="6096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1</xdr:col>
      <xdr:colOff>0</xdr:colOff>
      <xdr:row>95</xdr:row>
      <xdr:rowOff>104775</xdr:rowOff>
    </xdr:to>
    <xdr:sp>
      <xdr:nvSpPr>
        <xdr:cNvPr id="2460" name="Host Control  412"/>
        <xdr:cNvSpPr/>
      </xdr:nvSpPr>
      <xdr:spPr>
        <a:xfrm>
          <a:off x="0" y="159448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1</xdr:col>
      <xdr:colOff>0</xdr:colOff>
      <xdr:row>96</xdr:row>
      <xdr:rowOff>104775</xdr:rowOff>
    </xdr:to>
    <xdr:sp>
      <xdr:nvSpPr>
        <xdr:cNvPr id="2461" name="Host Control  413"/>
        <xdr:cNvSpPr/>
      </xdr:nvSpPr>
      <xdr:spPr>
        <a:xfrm>
          <a:off x="0" y="161163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1</xdr:col>
      <xdr:colOff>0</xdr:colOff>
      <xdr:row>97</xdr:row>
      <xdr:rowOff>104775</xdr:rowOff>
    </xdr:to>
    <xdr:sp>
      <xdr:nvSpPr>
        <xdr:cNvPr id="2462" name="Host Control  414"/>
        <xdr:cNvSpPr/>
      </xdr:nvSpPr>
      <xdr:spPr>
        <a:xfrm>
          <a:off x="0" y="162877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1</xdr:col>
      <xdr:colOff>0</xdr:colOff>
      <xdr:row>99</xdr:row>
      <xdr:rowOff>85725</xdr:rowOff>
    </xdr:to>
    <xdr:sp>
      <xdr:nvSpPr>
        <xdr:cNvPr id="2463" name="Host Control  415"/>
        <xdr:cNvSpPr/>
      </xdr:nvSpPr>
      <xdr:spPr>
        <a:xfrm>
          <a:off x="0" y="1645920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1</xdr:col>
      <xdr:colOff>0</xdr:colOff>
      <xdr:row>100</xdr:row>
      <xdr:rowOff>95250</xdr:rowOff>
    </xdr:to>
    <xdr:sp>
      <xdr:nvSpPr>
        <xdr:cNvPr id="2464" name="Host Control  416"/>
        <xdr:cNvSpPr/>
      </xdr:nvSpPr>
      <xdr:spPr>
        <a:xfrm>
          <a:off x="0" y="16630650"/>
          <a:ext cx="685800" cy="6096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1</xdr:col>
      <xdr:colOff>0</xdr:colOff>
      <xdr:row>100</xdr:row>
      <xdr:rowOff>104775</xdr:rowOff>
    </xdr:to>
    <xdr:sp>
      <xdr:nvSpPr>
        <xdr:cNvPr id="2465" name="Host Control  417"/>
        <xdr:cNvSpPr/>
      </xdr:nvSpPr>
      <xdr:spPr>
        <a:xfrm>
          <a:off x="0" y="168021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1</xdr:col>
      <xdr:colOff>0</xdr:colOff>
      <xdr:row>101</xdr:row>
      <xdr:rowOff>104775</xdr:rowOff>
    </xdr:to>
    <xdr:sp>
      <xdr:nvSpPr>
        <xdr:cNvPr id="2466" name="Host Control  418"/>
        <xdr:cNvSpPr/>
      </xdr:nvSpPr>
      <xdr:spPr>
        <a:xfrm>
          <a:off x="0" y="169735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1</xdr:col>
      <xdr:colOff>0</xdr:colOff>
      <xdr:row>102</xdr:row>
      <xdr:rowOff>104775</xdr:rowOff>
    </xdr:to>
    <xdr:sp>
      <xdr:nvSpPr>
        <xdr:cNvPr id="2467" name="Host Control  419"/>
        <xdr:cNvSpPr/>
      </xdr:nvSpPr>
      <xdr:spPr>
        <a:xfrm>
          <a:off x="0" y="171450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1</xdr:col>
      <xdr:colOff>0</xdr:colOff>
      <xdr:row>103</xdr:row>
      <xdr:rowOff>104775</xdr:rowOff>
    </xdr:to>
    <xdr:sp>
      <xdr:nvSpPr>
        <xdr:cNvPr id="2468" name="Host Control  420"/>
        <xdr:cNvSpPr/>
      </xdr:nvSpPr>
      <xdr:spPr>
        <a:xfrm>
          <a:off x="0" y="173164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1</xdr:col>
      <xdr:colOff>0</xdr:colOff>
      <xdr:row>105</xdr:row>
      <xdr:rowOff>76200</xdr:rowOff>
    </xdr:to>
    <xdr:sp>
      <xdr:nvSpPr>
        <xdr:cNvPr id="2469" name="Host Control  421"/>
        <xdr:cNvSpPr/>
      </xdr:nvSpPr>
      <xdr:spPr>
        <a:xfrm>
          <a:off x="0" y="174879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1</xdr:col>
      <xdr:colOff>0</xdr:colOff>
      <xdr:row>106</xdr:row>
      <xdr:rowOff>76200</xdr:rowOff>
    </xdr:to>
    <xdr:sp>
      <xdr:nvSpPr>
        <xdr:cNvPr id="2470" name="Host Control  422"/>
        <xdr:cNvSpPr/>
      </xdr:nvSpPr>
      <xdr:spPr>
        <a:xfrm>
          <a:off x="0" y="176593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1</xdr:col>
      <xdr:colOff>0</xdr:colOff>
      <xdr:row>107</xdr:row>
      <xdr:rowOff>76200</xdr:rowOff>
    </xdr:to>
    <xdr:sp>
      <xdr:nvSpPr>
        <xdr:cNvPr id="2471" name="Host Control  423"/>
        <xdr:cNvSpPr/>
      </xdr:nvSpPr>
      <xdr:spPr>
        <a:xfrm>
          <a:off x="0" y="178308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0</xdr:colOff>
      <xdr:row>107</xdr:row>
      <xdr:rowOff>104775</xdr:rowOff>
    </xdr:to>
    <xdr:sp>
      <xdr:nvSpPr>
        <xdr:cNvPr id="2472" name="Host Control  424"/>
        <xdr:cNvSpPr/>
      </xdr:nvSpPr>
      <xdr:spPr>
        <a:xfrm>
          <a:off x="0" y="180022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0</xdr:colOff>
      <xdr:row>108</xdr:row>
      <xdr:rowOff>104775</xdr:rowOff>
    </xdr:to>
    <xdr:sp>
      <xdr:nvSpPr>
        <xdr:cNvPr id="2473" name="Host Control  425"/>
        <xdr:cNvSpPr/>
      </xdr:nvSpPr>
      <xdr:spPr>
        <a:xfrm>
          <a:off x="0" y="181737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0</xdr:colOff>
      <xdr:row>109</xdr:row>
      <xdr:rowOff>104775</xdr:rowOff>
    </xdr:to>
    <xdr:sp>
      <xdr:nvSpPr>
        <xdr:cNvPr id="2474" name="Host Control  426"/>
        <xdr:cNvSpPr/>
      </xdr:nvSpPr>
      <xdr:spPr>
        <a:xfrm>
          <a:off x="0" y="183451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0</xdr:colOff>
      <xdr:row>110</xdr:row>
      <xdr:rowOff>104775</xdr:rowOff>
    </xdr:to>
    <xdr:sp>
      <xdr:nvSpPr>
        <xdr:cNvPr id="2475" name="Host Control  427"/>
        <xdr:cNvSpPr/>
      </xdr:nvSpPr>
      <xdr:spPr>
        <a:xfrm>
          <a:off x="0" y="185166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0</xdr:colOff>
      <xdr:row>112</xdr:row>
      <xdr:rowOff>76200</xdr:rowOff>
    </xdr:to>
    <xdr:sp>
      <xdr:nvSpPr>
        <xdr:cNvPr id="2476" name="Host Control  428"/>
        <xdr:cNvSpPr/>
      </xdr:nvSpPr>
      <xdr:spPr>
        <a:xfrm>
          <a:off x="0" y="186880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0</xdr:colOff>
      <xdr:row>113</xdr:row>
      <xdr:rowOff>76200</xdr:rowOff>
    </xdr:to>
    <xdr:sp>
      <xdr:nvSpPr>
        <xdr:cNvPr id="2477" name="Host Control  429"/>
        <xdr:cNvSpPr/>
      </xdr:nvSpPr>
      <xdr:spPr>
        <a:xfrm>
          <a:off x="0" y="188595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0</xdr:colOff>
      <xdr:row>114</xdr:row>
      <xdr:rowOff>76200</xdr:rowOff>
    </xdr:to>
    <xdr:sp>
      <xdr:nvSpPr>
        <xdr:cNvPr id="2478" name="Host Control  430"/>
        <xdr:cNvSpPr/>
      </xdr:nvSpPr>
      <xdr:spPr>
        <a:xfrm>
          <a:off x="0" y="190309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0</xdr:colOff>
      <xdr:row>114</xdr:row>
      <xdr:rowOff>104775</xdr:rowOff>
    </xdr:to>
    <xdr:sp>
      <xdr:nvSpPr>
        <xdr:cNvPr id="2479" name="Host Control  431"/>
        <xdr:cNvSpPr/>
      </xdr:nvSpPr>
      <xdr:spPr>
        <a:xfrm>
          <a:off x="0" y="192024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0</xdr:colOff>
      <xdr:row>116</xdr:row>
      <xdr:rowOff>76200</xdr:rowOff>
    </xdr:to>
    <xdr:sp>
      <xdr:nvSpPr>
        <xdr:cNvPr id="2480" name="Host Control  432"/>
        <xdr:cNvSpPr/>
      </xdr:nvSpPr>
      <xdr:spPr>
        <a:xfrm>
          <a:off x="0" y="193738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0</xdr:colOff>
      <xdr:row>116</xdr:row>
      <xdr:rowOff>104775</xdr:rowOff>
    </xdr:to>
    <xdr:sp>
      <xdr:nvSpPr>
        <xdr:cNvPr id="2481" name="Host Control  433"/>
        <xdr:cNvSpPr/>
      </xdr:nvSpPr>
      <xdr:spPr>
        <a:xfrm>
          <a:off x="0" y="195453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0</xdr:colOff>
      <xdr:row>117</xdr:row>
      <xdr:rowOff>104775</xdr:rowOff>
    </xdr:to>
    <xdr:sp>
      <xdr:nvSpPr>
        <xdr:cNvPr id="2482" name="Host Control  434"/>
        <xdr:cNvSpPr/>
      </xdr:nvSpPr>
      <xdr:spPr>
        <a:xfrm>
          <a:off x="0" y="197167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0</xdr:colOff>
      <xdr:row>118</xdr:row>
      <xdr:rowOff>104775</xdr:rowOff>
    </xdr:to>
    <xdr:sp>
      <xdr:nvSpPr>
        <xdr:cNvPr id="2483" name="Host Control  435"/>
        <xdr:cNvSpPr/>
      </xdr:nvSpPr>
      <xdr:spPr>
        <a:xfrm>
          <a:off x="0" y="198882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0</xdr:colOff>
      <xdr:row>119</xdr:row>
      <xdr:rowOff>104775</xdr:rowOff>
    </xdr:to>
    <xdr:sp>
      <xdr:nvSpPr>
        <xdr:cNvPr id="2484" name="Host Control  436"/>
        <xdr:cNvSpPr/>
      </xdr:nvSpPr>
      <xdr:spPr>
        <a:xfrm>
          <a:off x="0" y="200596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0</xdr:colOff>
      <xdr:row>120</xdr:row>
      <xdr:rowOff>104775</xdr:rowOff>
    </xdr:to>
    <xdr:sp>
      <xdr:nvSpPr>
        <xdr:cNvPr id="2485" name="Host Control  437"/>
        <xdr:cNvSpPr/>
      </xdr:nvSpPr>
      <xdr:spPr>
        <a:xfrm>
          <a:off x="0" y="202311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0</xdr:colOff>
      <xdr:row>121</xdr:row>
      <xdr:rowOff>114300</xdr:rowOff>
    </xdr:to>
    <xdr:sp>
      <xdr:nvSpPr>
        <xdr:cNvPr id="2486" name="Host Control  438"/>
        <xdr:cNvSpPr/>
      </xdr:nvSpPr>
      <xdr:spPr>
        <a:xfrm>
          <a:off x="0" y="2040255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0</xdr:colOff>
      <xdr:row>122</xdr:row>
      <xdr:rowOff>104775</xdr:rowOff>
    </xdr:to>
    <xdr:sp>
      <xdr:nvSpPr>
        <xdr:cNvPr id="2487" name="Host Control  439"/>
        <xdr:cNvSpPr/>
      </xdr:nvSpPr>
      <xdr:spPr>
        <a:xfrm>
          <a:off x="0" y="205740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0</xdr:colOff>
      <xdr:row>123</xdr:row>
      <xdr:rowOff>104775</xdr:rowOff>
    </xdr:to>
    <xdr:sp>
      <xdr:nvSpPr>
        <xdr:cNvPr id="2488" name="Host Control  440"/>
        <xdr:cNvSpPr/>
      </xdr:nvSpPr>
      <xdr:spPr>
        <a:xfrm>
          <a:off x="0" y="207454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0</xdr:colOff>
      <xdr:row>124</xdr:row>
      <xdr:rowOff>104775</xdr:rowOff>
    </xdr:to>
    <xdr:sp>
      <xdr:nvSpPr>
        <xdr:cNvPr id="2489" name="Host Control  441"/>
        <xdr:cNvSpPr/>
      </xdr:nvSpPr>
      <xdr:spPr>
        <a:xfrm>
          <a:off x="0" y="209169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0</xdr:colOff>
      <xdr:row>126</xdr:row>
      <xdr:rowOff>85725</xdr:rowOff>
    </xdr:to>
    <xdr:sp>
      <xdr:nvSpPr>
        <xdr:cNvPr id="2490" name="Host Control  442"/>
        <xdr:cNvSpPr/>
      </xdr:nvSpPr>
      <xdr:spPr>
        <a:xfrm>
          <a:off x="0" y="2108835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0</xdr:colOff>
      <xdr:row>126</xdr:row>
      <xdr:rowOff>104775</xdr:rowOff>
    </xdr:to>
    <xdr:sp>
      <xdr:nvSpPr>
        <xdr:cNvPr id="2491" name="Host Control  443"/>
        <xdr:cNvSpPr/>
      </xdr:nvSpPr>
      <xdr:spPr>
        <a:xfrm>
          <a:off x="0" y="212598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0</xdr:colOff>
      <xdr:row>127</xdr:row>
      <xdr:rowOff>104775</xdr:rowOff>
    </xdr:to>
    <xdr:sp>
      <xdr:nvSpPr>
        <xdr:cNvPr id="2492" name="Host Control  444"/>
        <xdr:cNvSpPr/>
      </xdr:nvSpPr>
      <xdr:spPr>
        <a:xfrm>
          <a:off x="0" y="214312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0</xdr:colOff>
      <xdr:row>129</xdr:row>
      <xdr:rowOff>76200</xdr:rowOff>
    </xdr:to>
    <xdr:sp>
      <xdr:nvSpPr>
        <xdr:cNvPr id="2493" name="Host Control  445"/>
        <xdr:cNvSpPr/>
      </xdr:nvSpPr>
      <xdr:spPr>
        <a:xfrm>
          <a:off x="0" y="216027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0</xdr:colOff>
      <xdr:row>129</xdr:row>
      <xdr:rowOff>104775</xdr:rowOff>
    </xdr:to>
    <xdr:sp>
      <xdr:nvSpPr>
        <xdr:cNvPr id="2494" name="Host Control  446"/>
        <xdr:cNvSpPr/>
      </xdr:nvSpPr>
      <xdr:spPr>
        <a:xfrm>
          <a:off x="0" y="217741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0</xdr:colOff>
      <xdr:row>130</xdr:row>
      <xdr:rowOff>104775</xdr:rowOff>
    </xdr:to>
    <xdr:sp>
      <xdr:nvSpPr>
        <xdr:cNvPr id="2495" name="Host Control  447"/>
        <xdr:cNvSpPr/>
      </xdr:nvSpPr>
      <xdr:spPr>
        <a:xfrm>
          <a:off x="0" y="219456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0</xdr:colOff>
      <xdr:row>131</xdr:row>
      <xdr:rowOff>114300</xdr:rowOff>
    </xdr:to>
    <xdr:sp>
      <xdr:nvSpPr>
        <xdr:cNvPr id="2496" name="Host Control  448"/>
        <xdr:cNvSpPr/>
      </xdr:nvSpPr>
      <xdr:spPr>
        <a:xfrm>
          <a:off x="0" y="2211705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0</xdr:colOff>
      <xdr:row>132</xdr:row>
      <xdr:rowOff>114300</xdr:rowOff>
    </xdr:to>
    <xdr:sp>
      <xdr:nvSpPr>
        <xdr:cNvPr id="2497" name="Host Control  449"/>
        <xdr:cNvSpPr/>
      </xdr:nvSpPr>
      <xdr:spPr>
        <a:xfrm>
          <a:off x="0" y="2228850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0</xdr:colOff>
      <xdr:row>133</xdr:row>
      <xdr:rowOff>104775</xdr:rowOff>
    </xdr:to>
    <xdr:sp>
      <xdr:nvSpPr>
        <xdr:cNvPr id="2498" name="Host Control  450"/>
        <xdr:cNvSpPr/>
      </xdr:nvSpPr>
      <xdr:spPr>
        <a:xfrm>
          <a:off x="0" y="224599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0</xdr:colOff>
      <xdr:row>134</xdr:row>
      <xdr:rowOff>104775</xdr:rowOff>
    </xdr:to>
    <xdr:sp>
      <xdr:nvSpPr>
        <xdr:cNvPr id="2499" name="Host Control  451"/>
        <xdr:cNvSpPr/>
      </xdr:nvSpPr>
      <xdr:spPr>
        <a:xfrm>
          <a:off x="0" y="226314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0</xdr:colOff>
      <xdr:row>135</xdr:row>
      <xdr:rowOff>114300</xdr:rowOff>
    </xdr:to>
    <xdr:sp>
      <xdr:nvSpPr>
        <xdr:cNvPr id="2500" name="Host Control  452"/>
        <xdr:cNvSpPr/>
      </xdr:nvSpPr>
      <xdr:spPr>
        <a:xfrm>
          <a:off x="0" y="2280285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0</xdr:colOff>
      <xdr:row>136</xdr:row>
      <xdr:rowOff>104775</xdr:rowOff>
    </xdr:to>
    <xdr:sp>
      <xdr:nvSpPr>
        <xdr:cNvPr id="2501" name="Host Control  453"/>
        <xdr:cNvSpPr/>
      </xdr:nvSpPr>
      <xdr:spPr>
        <a:xfrm>
          <a:off x="0" y="229743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0</xdr:colOff>
      <xdr:row>137</xdr:row>
      <xdr:rowOff>104775</xdr:rowOff>
    </xdr:to>
    <xdr:sp>
      <xdr:nvSpPr>
        <xdr:cNvPr id="2502" name="Host Control  454"/>
        <xdr:cNvSpPr/>
      </xdr:nvSpPr>
      <xdr:spPr>
        <a:xfrm>
          <a:off x="0" y="231457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0</xdr:colOff>
      <xdr:row>138</xdr:row>
      <xdr:rowOff>104775</xdr:rowOff>
    </xdr:to>
    <xdr:sp>
      <xdr:nvSpPr>
        <xdr:cNvPr id="2503" name="Host Control  455"/>
        <xdr:cNvSpPr/>
      </xdr:nvSpPr>
      <xdr:spPr>
        <a:xfrm>
          <a:off x="0" y="233172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0</xdr:colOff>
      <xdr:row>139</xdr:row>
      <xdr:rowOff>104775</xdr:rowOff>
    </xdr:to>
    <xdr:sp>
      <xdr:nvSpPr>
        <xdr:cNvPr id="2504" name="Host Control  456"/>
        <xdr:cNvSpPr/>
      </xdr:nvSpPr>
      <xdr:spPr>
        <a:xfrm>
          <a:off x="0" y="234886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0</xdr:colOff>
      <xdr:row>141</xdr:row>
      <xdr:rowOff>76200</xdr:rowOff>
    </xdr:to>
    <xdr:sp>
      <xdr:nvSpPr>
        <xdr:cNvPr id="2505" name="Host Control  457"/>
        <xdr:cNvSpPr/>
      </xdr:nvSpPr>
      <xdr:spPr>
        <a:xfrm>
          <a:off x="0" y="236601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0</xdr:colOff>
      <xdr:row>142</xdr:row>
      <xdr:rowOff>85725</xdr:rowOff>
    </xdr:to>
    <xdr:sp>
      <xdr:nvSpPr>
        <xdr:cNvPr id="2506" name="Host Control  458"/>
        <xdr:cNvSpPr/>
      </xdr:nvSpPr>
      <xdr:spPr>
        <a:xfrm>
          <a:off x="0" y="2383155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0</xdr:colOff>
      <xdr:row>142</xdr:row>
      <xdr:rowOff>104775</xdr:rowOff>
    </xdr:to>
    <xdr:sp>
      <xdr:nvSpPr>
        <xdr:cNvPr id="2507" name="Host Control  459"/>
        <xdr:cNvSpPr/>
      </xdr:nvSpPr>
      <xdr:spPr>
        <a:xfrm>
          <a:off x="0" y="240030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0</xdr:colOff>
      <xdr:row>143</xdr:row>
      <xdr:rowOff>104775</xdr:rowOff>
    </xdr:to>
    <xdr:sp>
      <xdr:nvSpPr>
        <xdr:cNvPr id="2508" name="Host Control  460"/>
        <xdr:cNvSpPr/>
      </xdr:nvSpPr>
      <xdr:spPr>
        <a:xfrm>
          <a:off x="0" y="241744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0</xdr:colOff>
      <xdr:row>144</xdr:row>
      <xdr:rowOff>104775</xdr:rowOff>
    </xdr:to>
    <xdr:sp>
      <xdr:nvSpPr>
        <xdr:cNvPr id="2509" name="Host Control  461"/>
        <xdr:cNvSpPr/>
      </xdr:nvSpPr>
      <xdr:spPr>
        <a:xfrm>
          <a:off x="0" y="243459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0</xdr:colOff>
      <xdr:row>145</xdr:row>
      <xdr:rowOff>104775</xdr:rowOff>
    </xdr:to>
    <xdr:sp>
      <xdr:nvSpPr>
        <xdr:cNvPr id="2510" name="Host Control  462"/>
        <xdr:cNvSpPr/>
      </xdr:nvSpPr>
      <xdr:spPr>
        <a:xfrm>
          <a:off x="0" y="245173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0</xdr:colOff>
      <xdr:row>147</xdr:row>
      <xdr:rowOff>76200</xdr:rowOff>
    </xdr:to>
    <xdr:sp>
      <xdr:nvSpPr>
        <xdr:cNvPr id="2511" name="Host Control  463"/>
        <xdr:cNvSpPr/>
      </xdr:nvSpPr>
      <xdr:spPr>
        <a:xfrm>
          <a:off x="0" y="246888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0</xdr:colOff>
      <xdr:row>148</xdr:row>
      <xdr:rowOff>85725</xdr:rowOff>
    </xdr:to>
    <xdr:sp>
      <xdr:nvSpPr>
        <xdr:cNvPr id="2512" name="Host Control  464"/>
        <xdr:cNvSpPr/>
      </xdr:nvSpPr>
      <xdr:spPr>
        <a:xfrm>
          <a:off x="0" y="2486025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0</xdr:colOff>
      <xdr:row>148</xdr:row>
      <xdr:rowOff>104775</xdr:rowOff>
    </xdr:to>
    <xdr:sp>
      <xdr:nvSpPr>
        <xdr:cNvPr id="2513" name="Host Control  465"/>
        <xdr:cNvSpPr/>
      </xdr:nvSpPr>
      <xdr:spPr>
        <a:xfrm>
          <a:off x="0" y="250317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0</xdr:colOff>
      <xdr:row>150</xdr:row>
      <xdr:rowOff>76200</xdr:rowOff>
    </xdr:to>
    <xdr:sp>
      <xdr:nvSpPr>
        <xdr:cNvPr id="2514" name="Host Control  466"/>
        <xdr:cNvSpPr/>
      </xdr:nvSpPr>
      <xdr:spPr>
        <a:xfrm>
          <a:off x="0" y="252031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0</xdr:colOff>
      <xdr:row>150</xdr:row>
      <xdr:rowOff>104775</xdr:rowOff>
    </xdr:to>
    <xdr:sp>
      <xdr:nvSpPr>
        <xdr:cNvPr id="2515" name="Host Control  467"/>
        <xdr:cNvSpPr/>
      </xdr:nvSpPr>
      <xdr:spPr>
        <a:xfrm>
          <a:off x="0" y="253746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0</xdr:colOff>
      <xdr:row>151</xdr:row>
      <xdr:rowOff>104775</xdr:rowOff>
    </xdr:to>
    <xdr:sp>
      <xdr:nvSpPr>
        <xdr:cNvPr id="2516" name="Host Control  468"/>
        <xdr:cNvSpPr/>
      </xdr:nvSpPr>
      <xdr:spPr>
        <a:xfrm>
          <a:off x="0" y="255460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0</xdr:colOff>
      <xdr:row>153</xdr:row>
      <xdr:rowOff>95250</xdr:rowOff>
    </xdr:to>
    <xdr:sp>
      <xdr:nvSpPr>
        <xdr:cNvPr id="2517" name="Host Control  469"/>
        <xdr:cNvSpPr/>
      </xdr:nvSpPr>
      <xdr:spPr>
        <a:xfrm>
          <a:off x="0" y="25717500"/>
          <a:ext cx="685800" cy="6096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0</xdr:colOff>
      <xdr:row>153</xdr:row>
      <xdr:rowOff>104775</xdr:rowOff>
    </xdr:to>
    <xdr:sp>
      <xdr:nvSpPr>
        <xdr:cNvPr id="2518" name="Host Control  470"/>
        <xdr:cNvSpPr/>
      </xdr:nvSpPr>
      <xdr:spPr>
        <a:xfrm>
          <a:off x="0" y="258889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0</xdr:colOff>
      <xdr:row>155</xdr:row>
      <xdr:rowOff>95250</xdr:rowOff>
    </xdr:to>
    <xdr:sp>
      <xdr:nvSpPr>
        <xdr:cNvPr id="2519" name="Host Control  471"/>
        <xdr:cNvSpPr/>
      </xdr:nvSpPr>
      <xdr:spPr>
        <a:xfrm>
          <a:off x="0" y="26060400"/>
          <a:ext cx="685800" cy="6096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0</xdr:colOff>
      <xdr:row>155</xdr:row>
      <xdr:rowOff>114300</xdr:rowOff>
    </xdr:to>
    <xdr:sp>
      <xdr:nvSpPr>
        <xdr:cNvPr id="2520" name="Host Control  472"/>
        <xdr:cNvSpPr/>
      </xdr:nvSpPr>
      <xdr:spPr>
        <a:xfrm>
          <a:off x="0" y="2623185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0</xdr:colOff>
      <xdr:row>156</xdr:row>
      <xdr:rowOff>114300</xdr:rowOff>
    </xdr:to>
    <xdr:sp>
      <xdr:nvSpPr>
        <xdr:cNvPr id="2521" name="Host Control  473"/>
        <xdr:cNvSpPr/>
      </xdr:nvSpPr>
      <xdr:spPr>
        <a:xfrm>
          <a:off x="0" y="2640330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0</xdr:colOff>
      <xdr:row>157</xdr:row>
      <xdr:rowOff>104775</xdr:rowOff>
    </xdr:to>
    <xdr:sp>
      <xdr:nvSpPr>
        <xdr:cNvPr id="2522" name="Host Control  474"/>
        <xdr:cNvSpPr/>
      </xdr:nvSpPr>
      <xdr:spPr>
        <a:xfrm>
          <a:off x="0" y="265747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0</xdr:colOff>
      <xdr:row>158</xdr:row>
      <xdr:rowOff>104775</xdr:rowOff>
    </xdr:to>
    <xdr:sp>
      <xdr:nvSpPr>
        <xdr:cNvPr id="2523" name="Host Control  475"/>
        <xdr:cNvSpPr/>
      </xdr:nvSpPr>
      <xdr:spPr>
        <a:xfrm>
          <a:off x="0" y="267462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0</xdr:colOff>
      <xdr:row>159</xdr:row>
      <xdr:rowOff>104775</xdr:rowOff>
    </xdr:to>
    <xdr:sp>
      <xdr:nvSpPr>
        <xdr:cNvPr id="2524" name="Host Control  476"/>
        <xdr:cNvSpPr/>
      </xdr:nvSpPr>
      <xdr:spPr>
        <a:xfrm>
          <a:off x="0" y="269176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0</xdr:colOff>
      <xdr:row>160</xdr:row>
      <xdr:rowOff>104775</xdr:rowOff>
    </xdr:to>
    <xdr:sp>
      <xdr:nvSpPr>
        <xdr:cNvPr id="2525" name="Host Control  477"/>
        <xdr:cNvSpPr/>
      </xdr:nvSpPr>
      <xdr:spPr>
        <a:xfrm>
          <a:off x="0" y="270891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0</xdr:colOff>
      <xdr:row>161</xdr:row>
      <xdr:rowOff>104775</xdr:rowOff>
    </xdr:to>
    <xdr:sp>
      <xdr:nvSpPr>
        <xdr:cNvPr id="2526" name="Host Control  478"/>
        <xdr:cNvSpPr/>
      </xdr:nvSpPr>
      <xdr:spPr>
        <a:xfrm>
          <a:off x="0" y="272605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0</xdr:colOff>
      <xdr:row>162</xdr:row>
      <xdr:rowOff>104775</xdr:rowOff>
    </xdr:to>
    <xdr:sp>
      <xdr:nvSpPr>
        <xdr:cNvPr id="2527" name="Host Control  479"/>
        <xdr:cNvSpPr/>
      </xdr:nvSpPr>
      <xdr:spPr>
        <a:xfrm>
          <a:off x="0" y="274320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0</xdr:colOff>
      <xdr:row>163</xdr:row>
      <xdr:rowOff>104775</xdr:rowOff>
    </xdr:to>
    <xdr:sp>
      <xdr:nvSpPr>
        <xdr:cNvPr id="2528" name="Host Control  480"/>
        <xdr:cNvSpPr/>
      </xdr:nvSpPr>
      <xdr:spPr>
        <a:xfrm>
          <a:off x="0" y="276034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0</xdr:colOff>
      <xdr:row>165</xdr:row>
      <xdr:rowOff>76200</xdr:rowOff>
    </xdr:to>
    <xdr:sp>
      <xdr:nvSpPr>
        <xdr:cNvPr id="2529" name="Host Control  481"/>
        <xdr:cNvSpPr/>
      </xdr:nvSpPr>
      <xdr:spPr>
        <a:xfrm>
          <a:off x="0" y="277749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0</xdr:colOff>
      <xdr:row>165</xdr:row>
      <xdr:rowOff>104775</xdr:rowOff>
    </xdr:to>
    <xdr:sp>
      <xdr:nvSpPr>
        <xdr:cNvPr id="2530" name="Host Control  482"/>
        <xdr:cNvSpPr/>
      </xdr:nvSpPr>
      <xdr:spPr>
        <a:xfrm>
          <a:off x="0" y="279463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0</xdr:colOff>
      <xdr:row>166</xdr:row>
      <xdr:rowOff>104775</xdr:rowOff>
    </xdr:to>
    <xdr:sp>
      <xdr:nvSpPr>
        <xdr:cNvPr id="2531" name="Host Control  483"/>
        <xdr:cNvSpPr/>
      </xdr:nvSpPr>
      <xdr:spPr>
        <a:xfrm>
          <a:off x="0" y="281178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0</xdr:colOff>
      <xdr:row>167</xdr:row>
      <xdr:rowOff>104775</xdr:rowOff>
    </xdr:to>
    <xdr:sp>
      <xdr:nvSpPr>
        <xdr:cNvPr id="2532" name="Host Control  484"/>
        <xdr:cNvSpPr/>
      </xdr:nvSpPr>
      <xdr:spPr>
        <a:xfrm>
          <a:off x="0" y="282892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0</xdr:colOff>
      <xdr:row>169</xdr:row>
      <xdr:rowOff>76200</xdr:rowOff>
    </xdr:to>
    <xdr:sp>
      <xdr:nvSpPr>
        <xdr:cNvPr id="2533" name="Host Control  485"/>
        <xdr:cNvSpPr/>
      </xdr:nvSpPr>
      <xdr:spPr>
        <a:xfrm>
          <a:off x="0" y="284607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0</xdr:colOff>
      <xdr:row>169</xdr:row>
      <xdr:rowOff>104775</xdr:rowOff>
    </xdr:to>
    <xdr:sp>
      <xdr:nvSpPr>
        <xdr:cNvPr id="2534" name="Host Control  486"/>
        <xdr:cNvSpPr/>
      </xdr:nvSpPr>
      <xdr:spPr>
        <a:xfrm>
          <a:off x="0" y="286321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0</xdr:colOff>
      <xdr:row>170</xdr:row>
      <xdr:rowOff>104775</xdr:rowOff>
    </xdr:to>
    <xdr:sp>
      <xdr:nvSpPr>
        <xdr:cNvPr id="2535" name="Host Control  487"/>
        <xdr:cNvSpPr/>
      </xdr:nvSpPr>
      <xdr:spPr>
        <a:xfrm>
          <a:off x="0" y="288036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0</xdr:colOff>
      <xdr:row>172</xdr:row>
      <xdr:rowOff>85725</xdr:rowOff>
    </xdr:to>
    <xdr:sp>
      <xdr:nvSpPr>
        <xdr:cNvPr id="2536" name="Host Control  488"/>
        <xdr:cNvSpPr/>
      </xdr:nvSpPr>
      <xdr:spPr>
        <a:xfrm>
          <a:off x="0" y="2897505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0</xdr:colOff>
      <xdr:row>173</xdr:row>
      <xdr:rowOff>76200</xdr:rowOff>
    </xdr:to>
    <xdr:sp>
      <xdr:nvSpPr>
        <xdr:cNvPr id="2537" name="Host Control  489"/>
        <xdr:cNvSpPr/>
      </xdr:nvSpPr>
      <xdr:spPr>
        <a:xfrm>
          <a:off x="0" y="291465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0</xdr:colOff>
      <xdr:row>173</xdr:row>
      <xdr:rowOff>104775</xdr:rowOff>
    </xdr:to>
    <xdr:sp>
      <xdr:nvSpPr>
        <xdr:cNvPr id="2538" name="Host Control  490"/>
        <xdr:cNvSpPr/>
      </xdr:nvSpPr>
      <xdr:spPr>
        <a:xfrm>
          <a:off x="0" y="293179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0</xdr:colOff>
      <xdr:row>175</xdr:row>
      <xdr:rowOff>76200</xdr:rowOff>
    </xdr:to>
    <xdr:sp>
      <xdr:nvSpPr>
        <xdr:cNvPr id="2539" name="Host Control  491"/>
        <xdr:cNvSpPr/>
      </xdr:nvSpPr>
      <xdr:spPr>
        <a:xfrm>
          <a:off x="0" y="294894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0</xdr:colOff>
      <xdr:row>176</xdr:row>
      <xdr:rowOff>76200</xdr:rowOff>
    </xdr:to>
    <xdr:sp>
      <xdr:nvSpPr>
        <xdr:cNvPr id="2540" name="Host Control  492"/>
        <xdr:cNvSpPr/>
      </xdr:nvSpPr>
      <xdr:spPr>
        <a:xfrm>
          <a:off x="0" y="296608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0</xdr:colOff>
      <xdr:row>176</xdr:row>
      <xdr:rowOff>104775</xdr:rowOff>
    </xdr:to>
    <xdr:sp>
      <xdr:nvSpPr>
        <xdr:cNvPr id="2541" name="Host Control  493"/>
        <xdr:cNvSpPr/>
      </xdr:nvSpPr>
      <xdr:spPr>
        <a:xfrm>
          <a:off x="0" y="298323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0</xdr:colOff>
      <xdr:row>177</xdr:row>
      <xdr:rowOff>104775</xdr:rowOff>
    </xdr:to>
    <xdr:sp>
      <xdr:nvSpPr>
        <xdr:cNvPr id="2542" name="Host Control  494"/>
        <xdr:cNvSpPr/>
      </xdr:nvSpPr>
      <xdr:spPr>
        <a:xfrm>
          <a:off x="0" y="300037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0</xdr:colOff>
      <xdr:row>179</xdr:row>
      <xdr:rowOff>76200</xdr:rowOff>
    </xdr:to>
    <xdr:sp>
      <xdr:nvSpPr>
        <xdr:cNvPr id="2543" name="Host Control  495"/>
        <xdr:cNvSpPr/>
      </xdr:nvSpPr>
      <xdr:spPr>
        <a:xfrm>
          <a:off x="0" y="301752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0</xdr:colOff>
      <xdr:row>179</xdr:row>
      <xdr:rowOff>104775</xdr:rowOff>
    </xdr:to>
    <xdr:sp>
      <xdr:nvSpPr>
        <xdr:cNvPr id="2544" name="Host Control  496"/>
        <xdr:cNvSpPr/>
      </xdr:nvSpPr>
      <xdr:spPr>
        <a:xfrm>
          <a:off x="0" y="303466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0</xdr:colOff>
      <xdr:row>181</xdr:row>
      <xdr:rowOff>76200</xdr:rowOff>
    </xdr:to>
    <xdr:sp>
      <xdr:nvSpPr>
        <xdr:cNvPr id="2545" name="Host Control  497"/>
        <xdr:cNvSpPr/>
      </xdr:nvSpPr>
      <xdr:spPr>
        <a:xfrm>
          <a:off x="0" y="305181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0</xdr:colOff>
      <xdr:row>181</xdr:row>
      <xdr:rowOff>104775</xdr:rowOff>
    </xdr:to>
    <xdr:sp>
      <xdr:nvSpPr>
        <xdr:cNvPr id="2546" name="Host Control  498"/>
        <xdr:cNvSpPr/>
      </xdr:nvSpPr>
      <xdr:spPr>
        <a:xfrm>
          <a:off x="0" y="306895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0</xdr:colOff>
      <xdr:row>182</xdr:row>
      <xdr:rowOff>104775</xdr:rowOff>
    </xdr:to>
    <xdr:sp>
      <xdr:nvSpPr>
        <xdr:cNvPr id="2547" name="Host Control  499"/>
        <xdr:cNvSpPr/>
      </xdr:nvSpPr>
      <xdr:spPr>
        <a:xfrm>
          <a:off x="0" y="308610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0</xdr:colOff>
      <xdr:row>184</xdr:row>
      <xdr:rowOff>85725</xdr:rowOff>
    </xdr:to>
    <xdr:sp>
      <xdr:nvSpPr>
        <xdr:cNvPr id="2548" name="Host Control  500"/>
        <xdr:cNvSpPr/>
      </xdr:nvSpPr>
      <xdr:spPr>
        <a:xfrm>
          <a:off x="0" y="3103245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0</xdr:colOff>
      <xdr:row>185</xdr:row>
      <xdr:rowOff>76200</xdr:rowOff>
    </xdr:to>
    <xdr:sp>
      <xdr:nvSpPr>
        <xdr:cNvPr id="2549" name="Host Control  501"/>
        <xdr:cNvSpPr/>
      </xdr:nvSpPr>
      <xdr:spPr>
        <a:xfrm>
          <a:off x="0" y="312039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0</xdr:colOff>
      <xdr:row>185</xdr:row>
      <xdr:rowOff>104775</xdr:rowOff>
    </xdr:to>
    <xdr:sp>
      <xdr:nvSpPr>
        <xdr:cNvPr id="2550" name="Host Control  502"/>
        <xdr:cNvSpPr/>
      </xdr:nvSpPr>
      <xdr:spPr>
        <a:xfrm>
          <a:off x="0" y="313753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0</xdr:colOff>
      <xdr:row>186</xdr:row>
      <xdr:rowOff>104775</xdr:rowOff>
    </xdr:to>
    <xdr:sp>
      <xdr:nvSpPr>
        <xdr:cNvPr id="2551" name="Host Control  503"/>
        <xdr:cNvSpPr/>
      </xdr:nvSpPr>
      <xdr:spPr>
        <a:xfrm>
          <a:off x="0" y="315468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0</xdr:colOff>
      <xdr:row>188</xdr:row>
      <xdr:rowOff>76200</xdr:rowOff>
    </xdr:to>
    <xdr:sp>
      <xdr:nvSpPr>
        <xdr:cNvPr id="2552" name="Host Control  504"/>
        <xdr:cNvSpPr/>
      </xdr:nvSpPr>
      <xdr:spPr>
        <a:xfrm>
          <a:off x="0" y="317182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0</xdr:colOff>
      <xdr:row>188</xdr:row>
      <xdr:rowOff>104775</xdr:rowOff>
    </xdr:to>
    <xdr:sp>
      <xdr:nvSpPr>
        <xdr:cNvPr id="2553" name="Host Control  505"/>
        <xdr:cNvSpPr/>
      </xdr:nvSpPr>
      <xdr:spPr>
        <a:xfrm>
          <a:off x="0" y="318897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0</xdr:colOff>
      <xdr:row>189</xdr:row>
      <xdr:rowOff>104775</xdr:rowOff>
    </xdr:to>
    <xdr:sp>
      <xdr:nvSpPr>
        <xdr:cNvPr id="2554" name="Host Control  506"/>
        <xdr:cNvSpPr/>
      </xdr:nvSpPr>
      <xdr:spPr>
        <a:xfrm>
          <a:off x="0" y="320611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0</xdr:colOff>
      <xdr:row>190</xdr:row>
      <xdr:rowOff>104775</xdr:rowOff>
    </xdr:to>
    <xdr:sp>
      <xdr:nvSpPr>
        <xdr:cNvPr id="2555" name="Host Control  507"/>
        <xdr:cNvSpPr/>
      </xdr:nvSpPr>
      <xdr:spPr>
        <a:xfrm>
          <a:off x="0" y="322326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1</xdr:col>
      <xdr:colOff>0</xdr:colOff>
      <xdr:row>191</xdr:row>
      <xdr:rowOff>104775</xdr:rowOff>
    </xdr:to>
    <xdr:sp>
      <xdr:nvSpPr>
        <xdr:cNvPr id="2556" name="Host Control  508"/>
        <xdr:cNvSpPr/>
      </xdr:nvSpPr>
      <xdr:spPr>
        <a:xfrm>
          <a:off x="0" y="324040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0</xdr:colOff>
      <xdr:row>192</xdr:row>
      <xdr:rowOff>104775</xdr:rowOff>
    </xdr:to>
    <xdr:sp>
      <xdr:nvSpPr>
        <xdr:cNvPr id="2557" name="Host Control  509"/>
        <xdr:cNvSpPr/>
      </xdr:nvSpPr>
      <xdr:spPr>
        <a:xfrm>
          <a:off x="0" y="325755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0</xdr:colOff>
      <xdr:row>193</xdr:row>
      <xdr:rowOff>104775</xdr:rowOff>
    </xdr:to>
    <xdr:sp>
      <xdr:nvSpPr>
        <xdr:cNvPr id="2558" name="Host Control  510"/>
        <xdr:cNvSpPr/>
      </xdr:nvSpPr>
      <xdr:spPr>
        <a:xfrm>
          <a:off x="0" y="327469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0</xdr:colOff>
      <xdr:row>194</xdr:row>
      <xdr:rowOff>104775</xdr:rowOff>
    </xdr:to>
    <xdr:sp>
      <xdr:nvSpPr>
        <xdr:cNvPr id="2559" name="Host Control  511"/>
        <xdr:cNvSpPr/>
      </xdr:nvSpPr>
      <xdr:spPr>
        <a:xfrm>
          <a:off x="0" y="329184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193</xdr:row>
      <xdr:rowOff>0</xdr:rowOff>
    </xdr:from>
    <xdr:to>
      <xdr:col>1</xdr:col>
      <xdr:colOff>0</xdr:colOff>
      <xdr:row>196</xdr:row>
      <xdr:rowOff>76200</xdr:rowOff>
    </xdr:to>
    <xdr:sp>
      <xdr:nvSpPr>
        <xdr:cNvPr id="2560" name="Host Control  512"/>
        <xdr:cNvSpPr/>
      </xdr:nvSpPr>
      <xdr:spPr>
        <a:xfrm>
          <a:off x="0" y="330898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194</xdr:row>
      <xdr:rowOff>0</xdr:rowOff>
    </xdr:from>
    <xdr:to>
      <xdr:col>1</xdr:col>
      <xdr:colOff>0</xdr:colOff>
      <xdr:row>197</xdr:row>
      <xdr:rowOff>76200</xdr:rowOff>
    </xdr:to>
    <xdr:sp>
      <xdr:nvSpPr>
        <xdr:cNvPr id="2561" name="Host Control  513"/>
        <xdr:cNvSpPr/>
      </xdr:nvSpPr>
      <xdr:spPr>
        <a:xfrm>
          <a:off x="0" y="332613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1</xdr:col>
      <xdr:colOff>0</xdr:colOff>
      <xdr:row>197</xdr:row>
      <xdr:rowOff>104775</xdr:rowOff>
    </xdr:to>
    <xdr:sp>
      <xdr:nvSpPr>
        <xdr:cNvPr id="2562" name="Host Control  514"/>
        <xdr:cNvSpPr/>
      </xdr:nvSpPr>
      <xdr:spPr>
        <a:xfrm>
          <a:off x="0" y="334327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1</xdr:col>
      <xdr:colOff>0</xdr:colOff>
      <xdr:row>198</xdr:row>
      <xdr:rowOff>104775</xdr:rowOff>
    </xdr:to>
    <xdr:sp>
      <xdr:nvSpPr>
        <xdr:cNvPr id="2563" name="Host Control  515"/>
        <xdr:cNvSpPr/>
      </xdr:nvSpPr>
      <xdr:spPr>
        <a:xfrm>
          <a:off x="0" y="336042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197</xdr:row>
      <xdr:rowOff>0</xdr:rowOff>
    </xdr:from>
    <xdr:to>
      <xdr:col>1</xdr:col>
      <xdr:colOff>0</xdr:colOff>
      <xdr:row>199</xdr:row>
      <xdr:rowOff>104775</xdr:rowOff>
    </xdr:to>
    <xdr:sp>
      <xdr:nvSpPr>
        <xdr:cNvPr id="2564" name="Host Control  516"/>
        <xdr:cNvSpPr/>
      </xdr:nvSpPr>
      <xdr:spPr>
        <a:xfrm>
          <a:off x="0" y="337756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198</xdr:row>
      <xdr:rowOff>0</xdr:rowOff>
    </xdr:from>
    <xdr:to>
      <xdr:col>1</xdr:col>
      <xdr:colOff>0</xdr:colOff>
      <xdr:row>200</xdr:row>
      <xdr:rowOff>104775</xdr:rowOff>
    </xdr:to>
    <xdr:sp>
      <xdr:nvSpPr>
        <xdr:cNvPr id="2565" name="Host Control  517"/>
        <xdr:cNvSpPr/>
      </xdr:nvSpPr>
      <xdr:spPr>
        <a:xfrm>
          <a:off x="0" y="339471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199</xdr:row>
      <xdr:rowOff>0</xdr:rowOff>
    </xdr:from>
    <xdr:to>
      <xdr:col>1</xdr:col>
      <xdr:colOff>0</xdr:colOff>
      <xdr:row>202</xdr:row>
      <xdr:rowOff>76200</xdr:rowOff>
    </xdr:to>
    <xdr:sp>
      <xdr:nvSpPr>
        <xdr:cNvPr id="2566" name="Host Control  518"/>
        <xdr:cNvSpPr/>
      </xdr:nvSpPr>
      <xdr:spPr>
        <a:xfrm>
          <a:off x="0" y="341185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1</xdr:col>
      <xdr:colOff>0</xdr:colOff>
      <xdr:row>202</xdr:row>
      <xdr:rowOff>104775</xdr:rowOff>
    </xdr:to>
    <xdr:sp>
      <xdr:nvSpPr>
        <xdr:cNvPr id="2567" name="Host Control  519"/>
        <xdr:cNvSpPr/>
      </xdr:nvSpPr>
      <xdr:spPr>
        <a:xfrm>
          <a:off x="0" y="342900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201</xdr:row>
      <xdr:rowOff>0</xdr:rowOff>
    </xdr:from>
    <xdr:to>
      <xdr:col>1</xdr:col>
      <xdr:colOff>0</xdr:colOff>
      <xdr:row>204</xdr:row>
      <xdr:rowOff>76200</xdr:rowOff>
    </xdr:to>
    <xdr:sp>
      <xdr:nvSpPr>
        <xdr:cNvPr id="2568" name="Host Control  520"/>
        <xdr:cNvSpPr/>
      </xdr:nvSpPr>
      <xdr:spPr>
        <a:xfrm>
          <a:off x="0" y="344614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202</xdr:row>
      <xdr:rowOff>0</xdr:rowOff>
    </xdr:from>
    <xdr:to>
      <xdr:col>1</xdr:col>
      <xdr:colOff>0</xdr:colOff>
      <xdr:row>204</xdr:row>
      <xdr:rowOff>104775</xdr:rowOff>
    </xdr:to>
    <xdr:sp>
      <xdr:nvSpPr>
        <xdr:cNvPr id="2569" name="Host Control  521"/>
        <xdr:cNvSpPr/>
      </xdr:nvSpPr>
      <xdr:spPr>
        <a:xfrm>
          <a:off x="0" y="346329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1</xdr:col>
      <xdr:colOff>0</xdr:colOff>
      <xdr:row>205</xdr:row>
      <xdr:rowOff>104775</xdr:rowOff>
    </xdr:to>
    <xdr:sp>
      <xdr:nvSpPr>
        <xdr:cNvPr id="2570" name="Host Control  522"/>
        <xdr:cNvSpPr/>
      </xdr:nvSpPr>
      <xdr:spPr>
        <a:xfrm>
          <a:off x="0" y="348043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204</xdr:row>
      <xdr:rowOff>0</xdr:rowOff>
    </xdr:from>
    <xdr:to>
      <xdr:col>1</xdr:col>
      <xdr:colOff>0</xdr:colOff>
      <xdr:row>206</xdr:row>
      <xdr:rowOff>104775</xdr:rowOff>
    </xdr:to>
    <xdr:sp>
      <xdr:nvSpPr>
        <xdr:cNvPr id="2571" name="Host Control  523"/>
        <xdr:cNvSpPr/>
      </xdr:nvSpPr>
      <xdr:spPr>
        <a:xfrm>
          <a:off x="0" y="349758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1</xdr:col>
      <xdr:colOff>0</xdr:colOff>
      <xdr:row>207</xdr:row>
      <xdr:rowOff>114300</xdr:rowOff>
    </xdr:to>
    <xdr:sp>
      <xdr:nvSpPr>
        <xdr:cNvPr id="2572" name="Host Control  524"/>
        <xdr:cNvSpPr/>
      </xdr:nvSpPr>
      <xdr:spPr>
        <a:xfrm>
          <a:off x="0" y="3514725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206</xdr:row>
      <xdr:rowOff>0</xdr:rowOff>
    </xdr:from>
    <xdr:to>
      <xdr:col>1</xdr:col>
      <xdr:colOff>0</xdr:colOff>
      <xdr:row>209</xdr:row>
      <xdr:rowOff>76200</xdr:rowOff>
    </xdr:to>
    <xdr:sp>
      <xdr:nvSpPr>
        <xdr:cNvPr id="2573" name="Host Control  525"/>
        <xdr:cNvSpPr/>
      </xdr:nvSpPr>
      <xdr:spPr>
        <a:xfrm>
          <a:off x="0" y="353187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207</xdr:row>
      <xdr:rowOff>0</xdr:rowOff>
    </xdr:from>
    <xdr:to>
      <xdr:col>1</xdr:col>
      <xdr:colOff>0</xdr:colOff>
      <xdr:row>209</xdr:row>
      <xdr:rowOff>104775</xdr:rowOff>
    </xdr:to>
    <xdr:sp>
      <xdr:nvSpPr>
        <xdr:cNvPr id="2574" name="Host Control  526"/>
        <xdr:cNvSpPr/>
      </xdr:nvSpPr>
      <xdr:spPr>
        <a:xfrm>
          <a:off x="0" y="354901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208</xdr:row>
      <xdr:rowOff>0</xdr:rowOff>
    </xdr:from>
    <xdr:to>
      <xdr:col>1</xdr:col>
      <xdr:colOff>0</xdr:colOff>
      <xdr:row>210</xdr:row>
      <xdr:rowOff>104775</xdr:rowOff>
    </xdr:to>
    <xdr:sp>
      <xdr:nvSpPr>
        <xdr:cNvPr id="2575" name="Host Control  527"/>
        <xdr:cNvSpPr/>
      </xdr:nvSpPr>
      <xdr:spPr>
        <a:xfrm>
          <a:off x="0" y="356616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209</xdr:row>
      <xdr:rowOff>0</xdr:rowOff>
    </xdr:from>
    <xdr:to>
      <xdr:col>1</xdr:col>
      <xdr:colOff>0</xdr:colOff>
      <xdr:row>211</xdr:row>
      <xdr:rowOff>104775</xdr:rowOff>
    </xdr:to>
    <xdr:sp>
      <xdr:nvSpPr>
        <xdr:cNvPr id="2576" name="Host Control  528"/>
        <xdr:cNvSpPr/>
      </xdr:nvSpPr>
      <xdr:spPr>
        <a:xfrm>
          <a:off x="0" y="358330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1</xdr:col>
      <xdr:colOff>0</xdr:colOff>
      <xdr:row>213</xdr:row>
      <xdr:rowOff>95250</xdr:rowOff>
    </xdr:to>
    <xdr:sp>
      <xdr:nvSpPr>
        <xdr:cNvPr id="2577" name="Host Control  529"/>
        <xdr:cNvSpPr/>
      </xdr:nvSpPr>
      <xdr:spPr>
        <a:xfrm>
          <a:off x="0" y="36004500"/>
          <a:ext cx="685800" cy="6096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1</xdr:col>
      <xdr:colOff>0</xdr:colOff>
      <xdr:row>213</xdr:row>
      <xdr:rowOff>104775</xdr:rowOff>
    </xdr:to>
    <xdr:sp>
      <xdr:nvSpPr>
        <xdr:cNvPr id="2578" name="Host Control  530"/>
        <xdr:cNvSpPr/>
      </xdr:nvSpPr>
      <xdr:spPr>
        <a:xfrm>
          <a:off x="0" y="361759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212</xdr:row>
      <xdr:rowOff>0</xdr:rowOff>
    </xdr:from>
    <xdr:to>
      <xdr:col>1</xdr:col>
      <xdr:colOff>0</xdr:colOff>
      <xdr:row>214</xdr:row>
      <xdr:rowOff>104775</xdr:rowOff>
    </xdr:to>
    <xdr:sp>
      <xdr:nvSpPr>
        <xdr:cNvPr id="2579" name="Host Control  531"/>
        <xdr:cNvSpPr/>
      </xdr:nvSpPr>
      <xdr:spPr>
        <a:xfrm>
          <a:off x="0" y="363474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213</xdr:row>
      <xdr:rowOff>0</xdr:rowOff>
    </xdr:from>
    <xdr:to>
      <xdr:col>1</xdr:col>
      <xdr:colOff>0</xdr:colOff>
      <xdr:row>216</xdr:row>
      <xdr:rowOff>76200</xdr:rowOff>
    </xdr:to>
    <xdr:sp>
      <xdr:nvSpPr>
        <xdr:cNvPr id="2580" name="Host Control  532"/>
        <xdr:cNvSpPr/>
      </xdr:nvSpPr>
      <xdr:spPr>
        <a:xfrm>
          <a:off x="0" y="365188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214</xdr:row>
      <xdr:rowOff>0</xdr:rowOff>
    </xdr:from>
    <xdr:to>
      <xdr:col>1</xdr:col>
      <xdr:colOff>0</xdr:colOff>
      <xdr:row>216</xdr:row>
      <xdr:rowOff>104775</xdr:rowOff>
    </xdr:to>
    <xdr:sp>
      <xdr:nvSpPr>
        <xdr:cNvPr id="2581" name="Host Control  533"/>
        <xdr:cNvSpPr/>
      </xdr:nvSpPr>
      <xdr:spPr>
        <a:xfrm>
          <a:off x="0" y="366903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1</xdr:col>
      <xdr:colOff>0</xdr:colOff>
      <xdr:row>218</xdr:row>
      <xdr:rowOff>76200</xdr:rowOff>
    </xdr:to>
    <xdr:sp>
      <xdr:nvSpPr>
        <xdr:cNvPr id="2582" name="Host Control  534"/>
        <xdr:cNvSpPr/>
      </xdr:nvSpPr>
      <xdr:spPr>
        <a:xfrm>
          <a:off x="0" y="368617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216</xdr:row>
      <xdr:rowOff>0</xdr:rowOff>
    </xdr:from>
    <xdr:to>
      <xdr:col>1</xdr:col>
      <xdr:colOff>0</xdr:colOff>
      <xdr:row>218</xdr:row>
      <xdr:rowOff>104775</xdr:rowOff>
    </xdr:to>
    <xdr:sp>
      <xdr:nvSpPr>
        <xdr:cNvPr id="2583" name="Host Control  535"/>
        <xdr:cNvSpPr/>
      </xdr:nvSpPr>
      <xdr:spPr>
        <a:xfrm>
          <a:off x="0" y="370332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217</xdr:row>
      <xdr:rowOff>0</xdr:rowOff>
    </xdr:from>
    <xdr:to>
      <xdr:col>1</xdr:col>
      <xdr:colOff>0</xdr:colOff>
      <xdr:row>219</xdr:row>
      <xdr:rowOff>104775</xdr:rowOff>
    </xdr:to>
    <xdr:sp>
      <xdr:nvSpPr>
        <xdr:cNvPr id="2584" name="Host Control  536"/>
        <xdr:cNvSpPr/>
      </xdr:nvSpPr>
      <xdr:spPr>
        <a:xfrm>
          <a:off x="0" y="372046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218</xdr:row>
      <xdr:rowOff>0</xdr:rowOff>
    </xdr:from>
    <xdr:to>
      <xdr:col>1</xdr:col>
      <xdr:colOff>0</xdr:colOff>
      <xdr:row>220</xdr:row>
      <xdr:rowOff>104775</xdr:rowOff>
    </xdr:to>
    <xdr:sp>
      <xdr:nvSpPr>
        <xdr:cNvPr id="2585" name="Host Control  537"/>
        <xdr:cNvSpPr/>
      </xdr:nvSpPr>
      <xdr:spPr>
        <a:xfrm>
          <a:off x="0" y="373761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219</xdr:row>
      <xdr:rowOff>0</xdr:rowOff>
    </xdr:from>
    <xdr:to>
      <xdr:col>1</xdr:col>
      <xdr:colOff>0</xdr:colOff>
      <xdr:row>221</xdr:row>
      <xdr:rowOff>104775</xdr:rowOff>
    </xdr:to>
    <xdr:sp>
      <xdr:nvSpPr>
        <xdr:cNvPr id="2586" name="Host Control  538"/>
        <xdr:cNvSpPr/>
      </xdr:nvSpPr>
      <xdr:spPr>
        <a:xfrm>
          <a:off x="0" y="375475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1</xdr:col>
      <xdr:colOff>0</xdr:colOff>
      <xdr:row>223</xdr:row>
      <xdr:rowOff>76200</xdr:rowOff>
    </xdr:to>
    <xdr:sp>
      <xdr:nvSpPr>
        <xdr:cNvPr id="2587" name="Host Control  539"/>
        <xdr:cNvSpPr/>
      </xdr:nvSpPr>
      <xdr:spPr>
        <a:xfrm>
          <a:off x="0" y="377190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221</xdr:row>
      <xdr:rowOff>0</xdr:rowOff>
    </xdr:from>
    <xdr:to>
      <xdr:col>1</xdr:col>
      <xdr:colOff>0</xdr:colOff>
      <xdr:row>224</xdr:row>
      <xdr:rowOff>76200</xdr:rowOff>
    </xdr:to>
    <xdr:sp>
      <xdr:nvSpPr>
        <xdr:cNvPr id="2588" name="Host Control  540"/>
        <xdr:cNvSpPr/>
      </xdr:nvSpPr>
      <xdr:spPr>
        <a:xfrm>
          <a:off x="0" y="378904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222</xdr:row>
      <xdr:rowOff>0</xdr:rowOff>
    </xdr:from>
    <xdr:to>
      <xdr:col>1</xdr:col>
      <xdr:colOff>0</xdr:colOff>
      <xdr:row>224</xdr:row>
      <xdr:rowOff>104775</xdr:rowOff>
    </xdr:to>
    <xdr:sp>
      <xdr:nvSpPr>
        <xdr:cNvPr id="2589" name="Host Control  541"/>
        <xdr:cNvSpPr/>
      </xdr:nvSpPr>
      <xdr:spPr>
        <a:xfrm>
          <a:off x="0" y="380619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223</xdr:row>
      <xdr:rowOff>0</xdr:rowOff>
    </xdr:from>
    <xdr:to>
      <xdr:col>1</xdr:col>
      <xdr:colOff>0</xdr:colOff>
      <xdr:row>225</xdr:row>
      <xdr:rowOff>104775</xdr:rowOff>
    </xdr:to>
    <xdr:sp>
      <xdr:nvSpPr>
        <xdr:cNvPr id="2590" name="Host Control  542"/>
        <xdr:cNvSpPr/>
      </xdr:nvSpPr>
      <xdr:spPr>
        <a:xfrm>
          <a:off x="0" y="382333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1</xdr:col>
      <xdr:colOff>0</xdr:colOff>
      <xdr:row>227</xdr:row>
      <xdr:rowOff>76200</xdr:rowOff>
    </xdr:to>
    <xdr:sp>
      <xdr:nvSpPr>
        <xdr:cNvPr id="2591" name="Host Control  543"/>
        <xdr:cNvSpPr/>
      </xdr:nvSpPr>
      <xdr:spPr>
        <a:xfrm>
          <a:off x="0" y="384048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1</xdr:col>
      <xdr:colOff>0</xdr:colOff>
      <xdr:row>228</xdr:row>
      <xdr:rowOff>76200</xdr:rowOff>
    </xdr:to>
    <xdr:sp>
      <xdr:nvSpPr>
        <xdr:cNvPr id="2592" name="Host Control  544"/>
        <xdr:cNvSpPr/>
      </xdr:nvSpPr>
      <xdr:spPr>
        <a:xfrm>
          <a:off x="0" y="385762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226</xdr:row>
      <xdr:rowOff>0</xdr:rowOff>
    </xdr:from>
    <xdr:to>
      <xdr:col>1</xdr:col>
      <xdr:colOff>0</xdr:colOff>
      <xdr:row>228</xdr:row>
      <xdr:rowOff>104775</xdr:rowOff>
    </xdr:to>
    <xdr:sp>
      <xdr:nvSpPr>
        <xdr:cNvPr id="2593" name="Host Control  545"/>
        <xdr:cNvSpPr/>
      </xdr:nvSpPr>
      <xdr:spPr>
        <a:xfrm>
          <a:off x="0" y="387477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227</xdr:row>
      <xdr:rowOff>0</xdr:rowOff>
    </xdr:from>
    <xdr:to>
      <xdr:col>1</xdr:col>
      <xdr:colOff>0</xdr:colOff>
      <xdr:row>229</xdr:row>
      <xdr:rowOff>104775</xdr:rowOff>
    </xdr:to>
    <xdr:sp>
      <xdr:nvSpPr>
        <xdr:cNvPr id="2594" name="Host Control  546"/>
        <xdr:cNvSpPr/>
      </xdr:nvSpPr>
      <xdr:spPr>
        <a:xfrm>
          <a:off x="0" y="389191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228</xdr:row>
      <xdr:rowOff>0</xdr:rowOff>
    </xdr:from>
    <xdr:to>
      <xdr:col>1</xdr:col>
      <xdr:colOff>0</xdr:colOff>
      <xdr:row>230</xdr:row>
      <xdr:rowOff>104775</xdr:rowOff>
    </xdr:to>
    <xdr:sp>
      <xdr:nvSpPr>
        <xdr:cNvPr id="2595" name="Host Control  547"/>
        <xdr:cNvSpPr/>
      </xdr:nvSpPr>
      <xdr:spPr>
        <a:xfrm>
          <a:off x="0" y="390906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229</xdr:row>
      <xdr:rowOff>0</xdr:rowOff>
    </xdr:from>
    <xdr:to>
      <xdr:col>1</xdr:col>
      <xdr:colOff>0</xdr:colOff>
      <xdr:row>232</xdr:row>
      <xdr:rowOff>76200</xdr:rowOff>
    </xdr:to>
    <xdr:sp>
      <xdr:nvSpPr>
        <xdr:cNvPr id="2596" name="Host Control  548"/>
        <xdr:cNvSpPr/>
      </xdr:nvSpPr>
      <xdr:spPr>
        <a:xfrm>
          <a:off x="0" y="392620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1</xdr:col>
      <xdr:colOff>0</xdr:colOff>
      <xdr:row>232</xdr:row>
      <xdr:rowOff>104775</xdr:rowOff>
    </xdr:to>
    <xdr:sp>
      <xdr:nvSpPr>
        <xdr:cNvPr id="2597" name="Host Control  549"/>
        <xdr:cNvSpPr/>
      </xdr:nvSpPr>
      <xdr:spPr>
        <a:xfrm>
          <a:off x="0" y="394335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1</xdr:col>
      <xdr:colOff>0</xdr:colOff>
      <xdr:row>233</xdr:row>
      <xdr:rowOff>104775</xdr:rowOff>
    </xdr:to>
    <xdr:sp>
      <xdr:nvSpPr>
        <xdr:cNvPr id="2598" name="Host Control  550"/>
        <xdr:cNvSpPr/>
      </xdr:nvSpPr>
      <xdr:spPr>
        <a:xfrm>
          <a:off x="0" y="396049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232</xdr:row>
      <xdr:rowOff>0</xdr:rowOff>
    </xdr:from>
    <xdr:to>
      <xdr:col>1</xdr:col>
      <xdr:colOff>0</xdr:colOff>
      <xdr:row>234</xdr:row>
      <xdr:rowOff>104775</xdr:rowOff>
    </xdr:to>
    <xdr:sp>
      <xdr:nvSpPr>
        <xdr:cNvPr id="2599" name="Host Control  551"/>
        <xdr:cNvSpPr/>
      </xdr:nvSpPr>
      <xdr:spPr>
        <a:xfrm>
          <a:off x="0" y="397764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233</xdr:row>
      <xdr:rowOff>0</xdr:rowOff>
    </xdr:from>
    <xdr:to>
      <xdr:col>1</xdr:col>
      <xdr:colOff>0</xdr:colOff>
      <xdr:row>235</xdr:row>
      <xdr:rowOff>104775</xdr:rowOff>
    </xdr:to>
    <xdr:sp>
      <xdr:nvSpPr>
        <xdr:cNvPr id="2600" name="Host Control  552"/>
        <xdr:cNvSpPr/>
      </xdr:nvSpPr>
      <xdr:spPr>
        <a:xfrm>
          <a:off x="0" y="399478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234</xdr:row>
      <xdr:rowOff>0</xdr:rowOff>
    </xdr:from>
    <xdr:to>
      <xdr:col>1</xdr:col>
      <xdr:colOff>0</xdr:colOff>
      <xdr:row>237</xdr:row>
      <xdr:rowOff>95250</xdr:rowOff>
    </xdr:to>
    <xdr:sp>
      <xdr:nvSpPr>
        <xdr:cNvPr id="2601" name="Host Control  553"/>
        <xdr:cNvSpPr/>
      </xdr:nvSpPr>
      <xdr:spPr>
        <a:xfrm>
          <a:off x="0" y="40119300"/>
          <a:ext cx="685800" cy="6096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1</xdr:col>
      <xdr:colOff>0</xdr:colOff>
      <xdr:row>237</xdr:row>
      <xdr:rowOff>104775</xdr:rowOff>
    </xdr:to>
    <xdr:sp>
      <xdr:nvSpPr>
        <xdr:cNvPr id="2602" name="Host Control  554"/>
        <xdr:cNvSpPr/>
      </xdr:nvSpPr>
      <xdr:spPr>
        <a:xfrm>
          <a:off x="0" y="402907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236</xdr:row>
      <xdr:rowOff>0</xdr:rowOff>
    </xdr:from>
    <xdr:to>
      <xdr:col>1</xdr:col>
      <xdr:colOff>0</xdr:colOff>
      <xdr:row>238</xdr:row>
      <xdr:rowOff>104775</xdr:rowOff>
    </xdr:to>
    <xdr:sp>
      <xdr:nvSpPr>
        <xdr:cNvPr id="2603" name="Host Control  555"/>
        <xdr:cNvSpPr/>
      </xdr:nvSpPr>
      <xdr:spPr>
        <a:xfrm>
          <a:off x="0" y="404622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237</xdr:row>
      <xdr:rowOff>0</xdr:rowOff>
    </xdr:from>
    <xdr:to>
      <xdr:col>1</xdr:col>
      <xdr:colOff>0</xdr:colOff>
      <xdr:row>240</xdr:row>
      <xdr:rowOff>76200</xdr:rowOff>
    </xdr:to>
    <xdr:sp>
      <xdr:nvSpPr>
        <xdr:cNvPr id="2604" name="Host Control  556"/>
        <xdr:cNvSpPr/>
      </xdr:nvSpPr>
      <xdr:spPr>
        <a:xfrm>
          <a:off x="0" y="406336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238</xdr:row>
      <xdr:rowOff>0</xdr:rowOff>
    </xdr:from>
    <xdr:to>
      <xdr:col>1</xdr:col>
      <xdr:colOff>0</xdr:colOff>
      <xdr:row>241</xdr:row>
      <xdr:rowOff>85725</xdr:rowOff>
    </xdr:to>
    <xdr:sp>
      <xdr:nvSpPr>
        <xdr:cNvPr id="2605" name="Host Control  557"/>
        <xdr:cNvSpPr/>
      </xdr:nvSpPr>
      <xdr:spPr>
        <a:xfrm>
          <a:off x="0" y="4080510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239</xdr:row>
      <xdr:rowOff>0</xdr:rowOff>
    </xdr:from>
    <xdr:to>
      <xdr:col>1</xdr:col>
      <xdr:colOff>0</xdr:colOff>
      <xdr:row>241</xdr:row>
      <xdr:rowOff>104775</xdr:rowOff>
    </xdr:to>
    <xdr:sp>
      <xdr:nvSpPr>
        <xdr:cNvPr id="2606" name="Host Control  558"/>
        <xdr:cNvSpPr/>
      </xdr:nvSpPr>
      <xdr:spPr>
        <a:xfrm>
          <a:off x="0" y="409765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1</xdr:col>
      <xdr:colOff>0</xdr:colOff>
      <xdr:row>243</xdr:row>
      <xdr:rowOff>76200</xdr:rowOff>
    </xdr:to>
    <xdr:sp>
      <xdr:nvSpPr>
        <xdr:cNvPr id="2607" name="Host Control  559"/>
        <xdr:cNvSpPr/>
      </xdr:nvSpPr>
      <xdr:spPr>
        <a:xfrm>
          <a:off x="0" y="411480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241</xdr:row>
      <xdr:rowOff>0</xdr:rowOff>
    </xdr:from>
    <xdr:to>
      <xdr:col>1</xdr:col>
      <xdr:colOff>0</xdr:colOff>
      <xdr:row>245</xdr:row>
      <xdr:rowOff>47625</xdr:rowOff>
    </xdr:to>
    <xdr:sp>
      <xdr:nvSpPr>
        <xdr:cNvPr id="2608" name="Host Control  560"/>
        <xdr:cNvSpPr/>
      </xdr:nvSpPr>
      <xdr:spPr>
        <a:xfrm>
          <a:off x="0" y="41319450"/>
          <a:ext cx="685800" cy="7334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242</xdr:row>
      <xdr:rowOff>0</xdr:rowOff>
    </xdr:from>
    <xdr:to>
      <xdr:col>1</xdr:col>
      <xdr:colOff>0</xdr:colOff>
      <xdr:row>244</xdr:row>
      <xdr:rowOff>104775</xdr:rowOff>
    </xdr:to>
    <xdr:sp>
      <xdr:nvSpPr>
        <xdr:cNvPr id="2609" name="Host Control  561"/>
        <xdr:cNvSpPr/>
      </xdr:nvSpPr>
      <xdr:spPr>
        <a:xfrm>
          <a:off x="0" y="414909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243</xdr:row>
      <xdr:rowOff>0</xdr:rowOff>
    </xdr:from>
    <xdr:to>
      <xdr:col>1</xdr:col>
      <xdr:colOff>0</xdr:colOff>
      <xdr:row>245</xdr:row>
      <xdr:rowOff>104775</xdr:rowOff>
    </xdr:to>
    <xdr:sp>
      <xdr:nvSpPr>
        <xdr:cNvPr id="2610" name="Host Control  562"/>
        <xdr:cNvSpPr/>
      </xdr:nvSpPr>
      <xdr:spPr>
        <a:xfrm>
          <a:off x="0" y="416623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244</xdr:row>
      <xdr:rowOff>0</xdr:rowOff>
    </xdr:from>
    <xdr:to>
      <xdr:col>1</xdr:col>
      <xdr:colOff>0</xdr:colOff>
      <xdr:row>246</xdr:row>
      <xdr:rowOff>104775</xdr:rowOff>
    </xdr:to>
    <xdr:sp>
      <xdr:nvSpPr>
        <xdr:cNvPr id="2611" name="Host Control  563"/>
        <xdr:cNvSpPr/>
      </xdr:nvSpPr>
      <xdr:spPr>
        <a:xfrm>
          <a:off x="0" y="418338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1</xdr:col>
      <xdr:colOff>0</xdr:colOff>
      <xdr:row>248</xdr:row>
      <xdr:rowOff>76200</xdr:rowOff>
    </xdr:to>
    <xdr:sp>
      <xdr:nvSpPr>
        <xdr:cNvPr id="2612" name="Host Control  564"/>
        <xdr:cNvSpPr/>
      </xdr:nvSpPr>
      <xdr:spPr>
        <a:xfrm>
          <a:off x="0" y="420052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246</xdr:row>
      <xdr:rowOff>0</xdr:rowOff>
    </xdr:from>
    <xdr:to>
      <xdr:col>1</xdr:col>
      <xdr:colOff>0</xdr:colOff>
      <xdr:row>249</xdr:row>
      <xdr:rowOff>76200</xdr:rowOff>
    </xdr:to>
    <xdr:sp>
      <xdr:nvSpPr>
        <xdr:cNvPr id="2613" name="Host Control  565"/>
        <xdr:cNvSpPr/>
      </xdr:nvSpPr>
      <xdr:spPr>
        <a:xfrm>
          <a:off x="0" y="421767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247</xdr:row>
      <xdr:rowOff>0</xdr:rowOff>
    </xdr:from>
    <xdr:to>
      <xdr:col>1</xdr:col>
      <xdr:colOff>0</xdr:colOff>
      <xdr:row>249</xdr:row>
      <xdr:rowOff>114300</xdr:rowOff>
    </xdr:to>
    <xdr:sp>
      <xdr:nvSpPr>
        <xdr:cNvPr id="2614" name="Host Control  566"/>
        <xdr:cNvSpPr/>
      </xdr:nvSpPr>
      <xdr:spPr>
        <a:xfrm>
          <a:off x="0" y="4234815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248</xdr:row>
      <xdr:rowOff>0</xdr:rowOff>
    </xdr:from>
    <xdr:to>
      <xdr:col>1</xdr:col>
      <xdr:colOff>0</xdr:colOff>
      <xdr:row>250</xdr:row>
      <xdr:rowOff>104775</xdr:rowOff>
    </xdr:to>
    <xdr:sp>
      <xdr:nvSpPr>
        <xdr:cNvPr id="2615" name="Host Control  567"/>
        <xdr:cNvSpPr/>
      </xdr:nvSpPr>
      <xdr:spPr>
        <a:xfrm>
          <a:off x="0" y="425196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249</xdr:row>
      <xdr:rowOff>0</xdr:rowOff>
    </xdr:from>
    <xdr:to>
      <xdr:col>1</xdr:col>
      <xdr:colOff>0</xdr:colOff>
      <xdr:row>251</xdr:row>
      <xdr:rowOff>104775</xdr:rowOff>
    </xdr:to>
    <xdr:sp>
      <xdr:nvSpPr>
        <xdr:cNvPr id="2616" name="Host Control  568"/>
        <xdr:cNvSpPr/>
      </xdr:nvSpPr>
      <xdr:spPr>
        <a:xfrm>
          <a:off x="0" y="426910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1</xdr:col>
      <xdr:colOff>0</xdr:colOff>
      <xdr:row>252</xdr:row>
      <xdr:rowOff>104775</xdr:rowOff>
    </xdr:to>
    <xdr:sp>
      <xdr:nvSpPr>
        <xdr:cNvPr id="2617" name="Host Control  569"/>
        <xdr:cNvSpPr/>
      </xdr:nvSpPr>
      <xdr:spPr>
        <a:xfrm>
          <a:off x="0" y="428625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1</xdr:col>
      <xdr:colOff>0</xdr:colOff>
      <xdr:row>254</xdr:row>
      <xdr:rowOff>76200</xdr:rowOff>
    </xdr:to>
    <xdr:sp>
      <xdr:nvSpPr>
        <xdr:cNvPr id="2618" name="Host Control  570"/>
        <xdr:cNvSpPr/>
      </xdr:nvSpPr>
      <xdr:spPr>
        <a:xfrm>
          <a:off x="0" y="430339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1</xdr:col>
      <xdr:colOff>0</xdr:colOff>
      <xdr:row>254</xdr:row>
      <xdr:rowOff>104775</xdr:rowOff>
    </xdr:to>
    <xdr:sp>
      <xdr:nvSpPr>
        <xdr:cNvPr id="2619" name="Host Control  571"/>
        <xdr:cNvSpPr/>
      </xdr:nvSpPr>
      <xdr:spPr>
        <a:xfrm>
          <a:off x="0" y="432054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253</xdr:row>
      <xdr:rowOff>0</xdr:rowOff>
    </xdr:from>
    <xdr:to>
      <xdr:col>1</xdr:col>
      <xdr:colOff>0</xdr:colOff>
      <xdr:row>255</xdr:row>
      <xdr:rowOff>104775</xdr:rowOff>
    </xdr:to>
    <xdr:sp>
      <xdr:nvSpPr>
        <xdr:cNvPr id="2620" name="Host Control  572"/>
        <xdr:cNvSpPr/>
      </xdr:nvSpPr>
      <xdr:spPr>
        <a:xfrm>
          <a:off x="0" y="433768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254</xdr:row>
      <xdr:rowOff>0</xdr:rowOff>
    </xdr:from>
    <xdr:to>
      <xdr:col>1</xdr:col>
      <xdr:colOff>0</xdr:colOff>
      <xdr:row>256</xdr:row>
      <xdr:rowOff>114300</xdr:rowOff>
    </xdr:to>
    <xdr:sp>
      <xdr:nvSpPr>
        <xdr:cNvPr id="2621" name="Host Control  573"/>
        <xdr:cNvSpPr/>
      </xdr:nvSpPr>
      <xdr:spPr>
        <a:xfrm>
          <a:off x="0" y="4354830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1</xdr:col>
      <xdr:colOff>0</xdr:colOff>
      <xdr:row>258</xdr:row>
      <xdr:rowOff>76200</xdr:rowOff>
    </xdr:to>
    <xdr:sp>
      <xdr:nvSpPr>
        <xdr:cNvPr id="2622" name="Host Control  574"/>
        <xdr:cNvSpPr/>
      </xdr:nvSpPr>
      <xdr:spPr>
        <a:xfrm>
          <a:off x="0" y="437197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256</xdr:row>
      <xdr:rowOff>0</xdr:rowOff>
    </xdr:from>
    <xdr:to>
      <xdr:col>1</xdr:col>
      <xdr:colOff>0</xdr:colOff>
      <xdr:row>259</xdr:row>
      <xdr:rowOff>85725</xdr:rowOff>
    </xdr:to>
    <xdr:sp>
      <xdr:nvSpPr>
        <xdr:cNvPr id="2623" name="Host Control  575"/>
        <xdr:cNvSpPr/>
      </xdr:nvSpPr>
      <xdr:spPr>
        <a:xfrm>
          <a:off x="0" y="4389120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257</xdr:row>
      <xdr:rowOff>0</xdr:rowOff>
    </xdr:from>
    <xdr:to>
      <xdr:col>1</xdr:col>
      <xdr:colOff>0</xdr:colOff>
      <xdr:row>259</xdr:row>
      <xdr:rowOff>104775</xdr:rowOff>
    </xdr:to>
    <xdr:sp>
      <xdr:nvSpPr>
        <xdr:cNvPr id="2624" name="Host Control  576"/>
        <xdr:cNvSpPr/>
      </xdr:nvSpPr>
      <xdr:spPr>
        <a:xfrm>
          <a:off x="0" y="440626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258</xdr:row>
      <xdr:rowOff>0</xdr:rowOff>
    </xdr:from>
    <xdr:to>
      <xdr:col>1</xdr:col>
      <xdr:colOff>0</xdr:colOff>
      <xdr:row>261</xdr:row>
      <xdr:rowOff>76200</xdr:rowOff>
    </xdr:to>
    <xdr:sp>
      <xdr:nvSpPr>
        <xdr:cNvPr id="2625" name="Host Control  577"/>
        <xdr:cNvSpPr/>
      </xdr:nvSpPr>
      <xdr:spPr>
        <a:xfrm>
          <a:off x="0" y="442341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1</xdr:col>
      <xdr:colOff>0</xdr:colOff>
      <xdr:row>261</xdr:row>
      <xdr:rowOff>104775</xdr:rowOff>
    </xdr:to>
    <xdr:sp>
      <xdr:nvSpPr>
        <xdr:cNvPr id="2626" name="Host Control  578"/>
        <xdr:cNvSpPr/>
      </xdr:nvSpPr>
      <xdr:spPr>
        <a:xfrm>
          <a:off x="0" y="444055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1</xdr:col>
      <xdr:colOff>0</xdr:colOff>
      <xdr:row>263</xdr:row>
      <xdr:rowOff>95250</xdr:rowOff>
    </xdr:to>
    <xdr:sp>
      <xdr:nvSpPr>
        <xdr:cNvPr id="2627" name="Host Control  579"/>
        <xdr:cNvSpPr/>
      </xdr:nvSpPr>
      <xdr:spPr>
        <a:xfrm>
          <a:off x="0" y="44577000"/>
          <a:ext cx="685800" cy="6096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261</xdr:row>
      <xdr:rowOff>0</xdr:rowOff>
    </xdr:from>
    <xdr:to>
      <xdr:col>1</xdr:col>
      <xdr:colOff>0</xdr:colOff>
      <xdr:row>263</xdr:row>
      <xdr:rowOff>104775</xdr:rowOff>
    </xdr:to>
    <xdr:sp>
      <xdr:nvSpPr>
        <xdr:cNvPr id="2628" name="Host Control  580"/>
        <xdr:cNvSpPr/>
      </xdr:nvSpPr>
      <xdr:spPr>
        <a:xfrm>
          <a:off x="0" y="447484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262</xdr:row>
      <xdr:rowOff>0</xdr:rowOff>
    </xdr:from>
    <xdr:to>
      <xdr:col>1</xdr:col>
      <xdr:colOff>0</xdr:colOff>
      <xdr:row>264</xdr:row>
      <xdr:rowOff>104775</xdr:rowOff>
    </xdr:to>
    <xdr:sp>
      <xdr:nvSpPr>
        <xdr:cNvPr id="2629" name="Host Control  581"/>
        <xdr:cNvSpPr/>
      </xdr:nvSpPr>
      <xdr:spPr>
        <a:xfrm>
          <a:off x="0" y="449199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263</xdr:row>
      <xdr:rowOff>0</xdr:rowOff>
    </xdr:from>
    <xdr:to>
      <xdr:col>1</xdr:col>
      <xdr:colOff>0</xdr:colOff>
      <xdr:row>265</xdr:row>
      <xdr:rowOff>104775</xdr:rowOff>
    </xdr:to>
    <xdr:sp>
      <xdr:nvSpPr>
        <xdr:cNvPr id="2630" name="Host Control  582"/>
        <xdr:cNvSpPr/>
      </xdr:nvSpPr>
      <xdr:spPr>
        <a:xfrm>
          <a:off x="0" y="450913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264</xdr:row>
      <xdr:rowOff>0</xdr:rowOff>
    </xdr:from>
    <xdr:to>
      <xdr:col>1</xdr:col>
      <xdr:colOff>0</xdr:colOff>
      <xdr:row>266</xdr:row>
      <xdr:rowOff>104775</xdr:rowOff>
    </xdr:to>
    <xdr:sp>
      <xdr:nvSpPr>
        <xdr:cNvPr id="2631" name="Host Control  583"/>
        <xdr:cNvSpPr/>
      </xdr:nvSpPr>
      <xdr:spPr>
        <a:xfrm>
          <a:off x="0" y="452628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1</xdr:col>
      <xdr:colOff>0</xdr:colOff>
      <xdr:row>267</xdr:row>
      <xdr:rowOff>104775</xdr:rowOff>
    </xdr:to>
    <xdr:sp>
      <xdr:nvSpPr>
        <xdr:cNvPr id="2632" name="Host Control  584"/>
        <xdr:cNvSpPr/>
      </xdr:nvSpPr>
      <xdr:spPr>
        <a:xfrm>
          <a:off x="0" y="454342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1</xdr:col>
      <xdr:colOff>0</xdr:colOff>
      <xdr:row>268</xdr:row>
      <xdr:rowOff>104775</xdr:rowOff>
    </xdr:to>
    <xdr:sp>
      <xdr:nvSpPr>
        <xdr:cNvPr id="2633" name="Host Control  585"/>
        <xdr:cNvSpPr/>
      </xdr:nvSpPr>
      <xdr:spPr>
        <a:xfrm>
          <a:off x="0" y="456057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267</xdr:row>
      <xdr:rowOff>0</xdr:rowOff>
    </xdr:from>
    <xdr:to>
      <xdr:col>1</xdr:col>
      <xdr:colOff>0</xdr:colOff>
      <xdr:row>269</xdr:row>
      <xdr:rowOff>104775</xdr:rowOff>
    </xdr:to>
    <xdr:sp>
      <xdr:nvSpPr>
        <xdr:cNvPr id="2634" name="Host Control  586"/>
        <xdr:cNvSpPr/>
      </xdr:nvSpPr>
      <xdr:spPr>
        <a:xfrm>
          <a:off x="0" y="457771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268</xdr:row>
      <xdr:rowOff>0</xdr:rowOff>
    </xdr:from>
    <xdr:to>
      <xdr:col>1</xdr:col>
      <xdr:colOff>0</xdr:colOff>
      <xdr:row>270</xdr:row>
      <xdr:rowOff>104775</xdr:rowOff>
    </xdr:to>
    <xdr:sp>
      <xdr:nvSpPr>
        <xdr:cNvPr id="2635" name="Host Control  587"/>
        <xdr:cNvSpPr/>
      </xdr:nvSpPr>
      <xdr:spPr>
        <a:xfrm>
          <a:off x="0" y="459486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269</xdr:row>
      <xdr:rowOff>0</xdr:rowOff>
    </xdr:from>
    <xdr:to>
      <xdr:col>1</xdr:col>
      <xdr:colOff>0</xdr:colOff>
      <xdr:row>271</xdr:row>
      <xdr:rowOff>104775</xdr:rowOff>
    </xdr:to>
    <xdr:sp>
      <xdr:nvSpPr>
        <xdr:cNvPr id="2636" name="Host Control  588"/>
        <xdr:cNvSpPr/>
      </xdr:nvSpPr>
      <xdr:spPr>
        <a:xfrm>
          <a:off x="0" y="461200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1</xdr:col>
      <xdr:colOff>0</xdr:colOff>
      <xdr:row>273</xdr:row>
      <xdr:rowOff>85725</xdr:rowOff>
    </xdr:to>
    <xdr:sp>
      <xdr:nvSpPr>
        <xdr:cNvPr id="2637" name="Host Control  589"/>
        <xdr:cNvSpPr/>
      </xdr:nvSpPr>
      <xdr:spPr>
        <a:xfrm>
          <a:off x="0" y="4629150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271</xdr:row>
      <xdr:rowOff>0</xdr:rowOff>
    </xdr:from>
    <xdr:to>
      <xdr:col>1</xdr:col>
      <xdr:colOff>0</xdr:colOff>
      <xdr:row>273</xdr:row>
      <xdr:rowOff>104775</xdr:rowOff>
    </xdr:to>
    <xdr:sp>
      <xdr:nvSpPr>
        <xdr:cNvPr id="2638" name="Host Control  590"/>
        <xdr:cNvSpPr/>
      </xdr:nvSpPr>
      <xdr:spPr>
        <a:xfrm>
          <a:off x="0" y="464629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272</xdr:row>
      <xdr:rowOff>0</xdr:rowOff>
    </xdr:from>
    <xdr:to>
      <xdr:col>1</xdr:col>
      <xdr:colOff>0</xdr:colOff>
      <xdr:row>275</xdr:row>
      <xdr:rowOff>76200</xdr:rowOff>
    </xdr:to>
    <xdr:sp>
      <xdr:nvSpPr>
        <xdr:cNvPr id="2639" name="Host Control  591"/>
        <xdr:cNvSpPr/>
      </xdr:nvSpPr>
      <xdr:spPr>
        <a:xfrm>
          <a:off x="0" y="466344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1</xdr:col>
      <xdr:colOff>0</xdr:colOff>
      <xdr:row>275</xdr:row>
      <xdr:rowOff>104775</xdr:rowOff>
    </xdr:to>
    <xdr:sp>
      <xdr:nvSpPr>
        <xdr:cNvPr id="2640" name="Host Control  592"/>
        <xdr:cNvSpPr/>
      </xdr:nvSpPr>
      <xdr:spPr>
        <a:xfrm>
          <a:off x="0" y="468058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274</xdr:row>
      <xdr:rowOff>0</xdr:rowOff>
    </xdr:from>
    <xdr:to>
      <xdr:col>1</xdr:col>
      <xdr:colOff>0</xdr:colOff>
      <xdr:row>277</xdr:row>
      <xdr:rowOff>76200</xdr:rowOff>
    </xdr:to>
    <xdr:sp>
      <xdr:nvSpPr>
        <xdr:cNvPr id="2641" name="Host Control  593"/>
        <xdr:cNvSpPr/>
      </xdr:nvSpPr>
      <xdr:spPr>
        <a:xfrm>
          <a:off x="0" y="469773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1</xdr:col>
      <xdr:colOff>0</xdr:colOff>
      <xdr:row>278</xdr:row>
      <xdr:rowOff>76200</xdr:rowOff>
    </xdr:to>
    <xdr:sp>
      <xdr:nvSpPr>
        <xdr:cNvPr id="2642" name="Host Control  594"/>
        <xdr:cNvSpPr/>
      </xdr:nvSpPr>
      <xdr:spPr>
        <a:xfrm>
          <a:off x="0" y="471487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276</xdr:row>
      <xdr:rowOff>0</xdr:rowOff>
    </xdr:from>
    <xdr:to>
      <xdr:col>1</xdr:col>
      <xdr:colOff>0</xdr:colOff>
      <xdr:row>278</xdr:row>
      <xdr:rowOff>104775</xdr:rowOff>
    </xdr:to>
    <xdr:sp>
      <xdr:nvSpPr>
        <xdr:cNvPr id="2643" name="Host Control  595"/>
        <xdr:cNvSpPr/>
      </xdr:nvSpPr>
      <xdr:spPr>
        <a:xfrm>
          <a:off x="0" y="473202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277</xdr:row>
      <xdr:rowOff>0</xdr:rowOff>
    </xdr:from>
    <xdr:to>
      <xdr:col>1</xdr:col>
      <xdr:colOff>0</xdr:colOff>
      <xdr:row>279</xdr:row>
      <xdr:rowOff>104775</xdr:rowOff>
    </xdr:to>
    <xdr:sp>
      <xdr:nvSpPr>
        <xdr:cNvPr id="2644" name="Host Control  596"/>
        <xdr:cNvSpPr/>
      </xdr:nvSpPr>
      <xdr:spPr>
        <a:xfrm>
          <a:off x="0" y="474916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278</xdr:row>
      <xdr:rowOff>0</xdr:rowOff>
    </xdr:from>
    <xdr:to>
      <xdr:col>1</xdr:col>
      <xdr:colOff>0</xdr:colOff>
      <xdr:row>280</xdr:row>
      <xdr:rowOff>104775</xdr:rowOff>
    </xdr:to>
    <xdr:sp>
      <xdr:nvSpPr>
        <xdr:cNvPr id="2645" name="Host Control  597"/>
        <xdr:cNvSpPr/>
      </xdr:nvSpPr>
      <xdr:spPr>
        <a:xfrm>
          <a:off x="0" y="476631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279</xdr:row>
      <xdr:rowOff>0</xdr:rowOff>
    </xdr:from>
    <xdr:to>
      <xdr:col>1</xdr:col>
      <xdr:colOff>0</xdr:colOff>
      <xdr:row>281</xdr:row>
      <xdr:rowOff>104775</xdr:rowOff>
    </xdr:to>
    <xdr:sp>
      <xdr:nvSpPr>
        <xdr:cNvPr id="2646" name="Host Control  598"/>
        <xdr:cNvSpPr/>
      </xdr:nvSpPr>
      <xdr:spPr>
        <a:xfrm>
          <a:off x="0" y="478345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1</xdr:col>
      <xdr:colOff>0</xdr:colOff>
      <xdr:row>282</xdr:row>
      <xdr:rowOff>104775</xdr:rowOff>
    </xdr:to>
    <xdr:sp>
      <xdr:nvSpPr>
        <xdr:cNvPr id="2647" name="Host Control  599"/>
        <xdr:cNvSpPr/>
      </xdr:nvSpPr>
      <xdr:spPr>
        <a:xfrm>
          <a:off x="0" y="480060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281</xdr:row>
      <xdr:rowOff>0</xdr:rowOff>
    </xdr:from>
    <xdr:to>
      <xdr:col>1</xdr:col>
      <xdr:colOff>0</xdr:colOff>
      <xdr:row>284</xdr:row>
      <xdr:rowOff>76200</xdr:rowOff>
    </xdr:to>
    <xdr:sp>
      <xdr:nvSpPr>
        <xdr:cNvPr id="2648" name="Host Control  600"/>
        <xdr:cNvSpPr/>
      </xdr:nvSpPr>
      <xdr:spPr>
        <a:xfrm>
          <a:off x="0" y="481774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282</xdr:row>
      <xdr:rowOff>0</xdr:rowOff>
    </xdr:from>
    <xdr:to>
      <xdr:col>1</xdr:col>
      <xdr:colOff>0</xdr:colOff>
      <xdr:row>284</xdr:row>
      <xdr:rowOff>104775</xdr:rowOff>
    </xdr:to>
    <xdr:sp>
      <xdr:nvSpPr>
        <xdr:cNvPr id="2649" name="Host Control  601"/>
        <xdr:cNvSpPr/>
      </xdr:nvSpPr>
      <xdr:spPr>
        <a:xfrm>
          <a:off x="0" y="483489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283</xdr:row>
      <xdr:rowOff>0</xdr:rowOff>
    </xdr:from>
    <xdr:to>
      <xdr:col>1</xdr:col>
      <xdr:colOff>0</xdr:colOff>
      <xdr:row>285</xdr:row>
      <xdr:rowOff>104775</xdr:rowOff>
    </xdr:to>
    <xdr:sp>
      <xdr:nvSpPr>
        <xdr:cNvPr id="2650" name="Host Control  602"/>
        <xdr:cNvSpPr/>
      </xdr:nvSpPr>
      <xdr:spPr>
        <a:xfrm>
          <a:off x="0" y="485203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284</xdr:row>
      <xdr:rowOff>0</xdr:rowOff>
    </xdr:from>
    <xdr:to>
      <xdr:col>1</xdr:col>
      <xdr:colOff>0</xdr:colOff>
      <xdr:row>287</xdr:row>
      <xdr:rowOff>76200</xdr:rowOff>
    </xdr:to>
    <xdr:sp>
      <xdr:nvSpPr>
        <xdr:cNvPr id="2651" name="Host Control  603"/>
        <xdr:cNvSpPr/>
      </xdr:nvSpPr>
      <xdr:spPr>
        <a:xfrm>
          <a:off x="0" y="486918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285</xdr:row>
      <xdr:rowOff>0</xdr:rowOff>
    </xdr:from>
    <xdr:to>
      <xdr:col>1</xdr:col>
      <xdr:colOff>0</xdr:colOff>
      <xdr:row>287</xdr:row>
      <xdr:rowOff>104775</xdr:rowOff>
    </xdr:to>
    <xdr:sp>
      <xdr:nvSpPr>
        <xdr:cNvPr id="2652" name="Host Control  604"/>
        <xdr:cNvSpPr/>
      </xdr:nvSpPr>
      <xdr:spPr>
        <a:xfrm>
          <a:off x="0" y="488632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286</xdr:row>
      <xdr:rowOff>0</xdr:rowOff>
    </xdr:from>
    <xdr:to>
      <xdr:col>1</xdr:col>
      <xdr:colOff>0</xdr:colOff>
      <xdr:row>288</xdr:row>
      <xdr:rowOff>114300</xdr:rowOff>
    </xdr:to>
    <xdr:sp>
      <xdr:nvSpPr>
        <xdr:cNvPr id="2653" name="Host Control  605"/>
        <xdr:cNvSpPr/>
      </xdr:nvSpPr>
      <xdr:spPr>
        <a:xfrm>
          <a:off x="0" y="4903470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287</xdr:row>
      <xdr:rowOff>0</xdr:rowOff>
    </xdr:from>
    <xdr:to>
      <xdr:col>1</xdr:col>
      <xdr:colOff>0</xdr:colOff>
      <xdr:row>290</xdr:row>
      <xdr:rowOff>76200</xdr:rowOff>
    </xdr:to>
    <xdr:sp>
      <xdr:nvSpPr>
        <xdr:cNvPr id="2654" name="Host Control  606"/>
        <xdr:cNvSpPr/>
      </xdr:nvSpPr>
      <xdr:spPr>
        <a:xfrm>
          <a:off x="0" y="492061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288</xdr:row>
      <xdr:rowOff>0</xdr:rowOff>
    </xdr:from>
    <xdr:to>
      <xdr:col>1</xdr:col>
      <xdr:colOff>0</xdr:colOff>
      <xdr:row>290</xdr:row>
      <xdr:rowOff>104775</xdr:rowOff>
    </xdr:to>
    <xdr:sp>
      <xdr:nvSpPr>
        <xdr:cNvPr id="2655" name="Host Control  607"/>
        <xdr:cNvSpPr/>
      </xdr:nvSpPr>
      <xdr:spPr>
        <a:xfrm>
          <a:off x="0" y="493776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289</xdr:row>
      <xdr:rowOff>0</xdr:rowOff>
    </xdr:from>
    <xdr:to>
      <xdr:col>1</xdr:col>
      <xdr:colOff>0</xdr:colOff>
      <xdr:row>291</xdr:row>
      <xdr:rowOff>104775</xdr:rowOff>
    </xdr:to>
    <xdr:sp>
      <xdr:nvSpPr>
        <xdr:cNvPr id="2656" name="Host Control  608"/>
        <xdr:cNvSpPr/>
      </xdr:nvSpPr>
      <xdr:spPr>
        <a:xfrm>
          <a:off x="0" y="495490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1</xdr:col>
      <xdr:colOff>0</xdr:colOff>
      <xdr:row>293</xdr:row>
      <xdr:rowOff>85725</xdr:rowOff>
    </xdr:to>
    <xdr:sp>
      <xdr:nvSpPr>
        <xdr:cNvPr id="2657" name="Host Control  609"/>
        <xdr:cNvSpPr/>
      </xdr:nvSpPr>
      <xdr:spPr>
        <a:xfrm>
          <a:off x="0" y="4972050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291</xdr:row>
      <xdr:rowOff>0</xdr:rowOff>
    </xdr:from>
    <xdr:to>
      <xdr:col>1</xdr:col>
      <xdr:colOff>0</xdr:colOff>
      <xdr:row>294</xdr:row>
      <xdr:rowOff>76200</xdr:rowOff>
    </xdr:to>
    <xdr:sp>
      <xdr:nvSpPr>
        <xdr:cNvPr id="2658" name="Host Control  610"/>
        <xdr:cNvSpPr/>
      </xdr:nvSpPr>
      <xdr:spPr>
        <a:xfrm>
          <a:off x="0" y="498919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292</xdr:row>
      <xdr:rowOff>0</xdr:rowOff>
    </xdr:from>
    <xdr:to>
      <xdr:col>1</xdr:col>
      <xdr:colOff>0</xdr:colOff>
      <xdr:row>295</xdr:row>
      <xdr:rowOff>95250</xdr:rowOff>
    </xdr:to>
    <xdr:sp>
      <xdr:nvSpPr>
        <xdr:cNvPr id="2659" name="Host Control  611"/>
        <xdr:cNvSpPr/>
      </xdr:nvSpPr>
      <xdr:spPr>
        <a:xfrm>
          <a:off x="0" y="50063400"/>
          <a:ext cx="685800" cy="6096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293</xdr:row>
      <xdr:rowOff>0</xdr:rowOff>
    </xdr:from>
    <xdr:to>
      <xdr:col>1</xdr:col>
      <xdr:colOff>0</xdr:colOff>
      <xdr:row>296</xdr:row>
      <xdr:rowOff>76200</xdr:rowOff>
    </xdr:to>
    <xdr:sp>
      <xdr:nvSpPr>
        <xdr:cNvPr id="2660" name="Host Control  612"/>
        <xdr:cNvSpPr/>
      </xdr:nvSpPr>
      <xdr:spPr>
        <a:xfrm>
          <a:off x="0" y="5023485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1</xdr:col>
      <xdr:colOff>0</xdr:colOff>
      <xdr:row>296</xdr:row>
      <xdr:rowOff>104775</xdr:rowOff>
    </xdr:to>
    <xdr:sp>
      <xdr:nvSpPr>
        <xdr:cNvPr id="2661" name="Host Control  613"/>
        <xdr:cNvSpPr/>
      </xdr:nvSpPr>
      <xdr:spPr>
        <a:xfrm>
          <a:off x="0" y="504063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1</xdr:col>
      <xdr:colOff>0</xdr:colOff>
      <xdr:row>297</xdr:row>
      <xdr:rowOff>104775</xdr:rowOff>
    </xdr:to>
    <xdr:sp>
      <xdr:nvSpPr>
        <xdr:cNvPr id="2662" name="Host Control  614"/>
        <xdr:cNvSpPr/>
      </xdr:nvSpPr>
      <xdr:spPr>
        <a:xfrm>
          <a:off x="0" y="505777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296</xdr:row>
      <xdr:rowOff>0</xdr:rowOff>
    </xdr:from>
    <xdr:to>
      <xdr:col>1</xdr:col>
      <xdr:colOff>0</xdr:colOff>
      <xdr:row>298</xdr:row>
      <xdr:rowOff>104775</xdr:rowOff>
    </xdr:to>
    <xdr:sp>
      <xdr:nvSpPr>
        <xdr:cNvPr id="2663" name="Host Control  615"/>
        <xdr:cNvSpPr/>
      </xdr:nvSpPr>
      <xdr:spPr>
        <a:xfrm>
          <a:off x="0" y="507492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297</xdr:row>
      <xdr:rowOff>0</xdr:rowOff>
    </xdr:from>
    <xdr:to>
      <xdr:col>1</xdr:col>
      <xdr:colOff>0</xdr:colOff>
      <xdr:row>300</xdr:row>
      <xdr:rowOff>85725</xdr:rowOff>
    </xdr:to>
    <xdr:sp>
      <xdr:nvSpPr>
        <xdr:cNvPr id="2664" name="Host Control  616"/>
        <xdr:cNvSpPr/>
      </xdr:nvSpPr>
      <xdr:spPr>
        <a:xfrm>
          <a:off x="0" y="5092065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298</xdr:row>
      <xdr:rowOff>0</xdr:rowOff>
    </xdr:from>
    <xdr:to>
      <xdr:col>1</xdr:col>
      <xdr:colOff>0</xdr:colOff>
      <xdr:row>300</xdr:row>
      <xdr:rowOff>104775</xdr:rowOff>
    </xdr:to>
    <xdr:sp>
      <xdr:nvSpPr>
        <xdr:cNvPr id="2665" name="Host Control  617"/>
        <xdr:cNvSpPr/>
      </xdr:nvSpPr>
      <xdr:spPr>
        <a:xfrm>
          <a:off x="0" y="510921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299</xdr:row>
      <xdr:rowOff>0</xdr:rowOff>
    </xdr:from>
    <xdr:to>
      <xdr:col>1</xdr:col>
      <xdr:colOff>0</xdr:colOff>
      <xdr:row>301</xdr:row>
      <xdr:rowOff>104775</xdr:rowOff>
    </xdr:to>
    <xdr:sp>
      <xdr:nvSpPr>
        <xdr:cNvPr id="2666" name="Host Control  618"/>
        <xdr:cNvSpPr/>
      </xdr:nvSpPr>
      <xdr:spPr>
        <a:xfrm>
          <a:off x="0" y="512635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1</xdr:col>
      <xdr:colOff>0</xdr:colOff>
      <xdr:row>302</xdr:row>
      <xdr:rowOff>104775</xdr:rowOff>
    </xdr:to>
    <xdr:sp>
      <xdr:nvSpPr>
        <xdr:cNvPr id="2667" name="Host Control  619"/>
        <xdr:cNvSpPr/>
      </xdr:nvSpPr>
      <xdr:spPr>
        <a:xfrm>
          <a:off x="0" y="514350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1</xdr:col>
      <xdr:colOff>0</xdr:colOff>
      <xdr:row>303</xdr:row>
      <xdr:rowOff>104775</xdr:rowOff>
    </xdr:to>
    <xdr:sp>
      <xdr:nvSpPr>
        <xdr:cNvPr id="2668" name="Host Control  620"/>
        <xdr:cNvSpPr/>
      </xdr:nvSpPr>
      <xdr:spPr>
        <a:xfrm>
          <a:off x="0" y="516064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302</xdr:row>
      <xdr:rowOff>0</xdr:rowOff>
    </xdr:from>
    <xdr:to>
      <xdr:col>1</xdr:col>
      <xdr:colOff>0</xdr:colOff>
      <xdr:row>305</xdr:row>
      <xdr:rowOff>76200</xdr:rowOff>
    </xdr:to>
    <xdr:sp>
      <xdr:nvSpPr>
        <xdr:cNvPr id="2669" name="Host Control  621"/>
        <xdr:cNvSpPr/>
      </xdr:nvSpPr>
      <xdr:spPr>
        <a:xfrm>
          <a:off x="0" y="51777900"/>
          <a:ext cx="685800" cy="590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303</xdr:row>
      <xdr:rowOff>0</xdr:rowOff>
    </xdr:from>
    <xdr:to>
      <xdr:col>1</xdr:col>
      <xdr:colOff>0</xdr:colOff>
      <xdr:row>305</xdr:row>
      <xdr:rowOff>104775</xdr:rowOff>
    </xdr:to>
    <xdr:sp>
      <xdr:nvSpPr>
        <xdr:cNvPr id="2670" name="Host Control  622"/>
        <xdr:cNvSpPr/>
      </xdr:nvSpPr>
      <xdr:spPr>
        <a:xfrm>
          <a:off x="0" y="519493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304</xdr:row>
      <xdr:rowOff>0</xdr:rowOff>
    </xdr:from>
    <xdr:to>
      <xdr:col>1</xdr:col>
      <xdr:colOff>0</xdr:colOff>
      <xdr:row>306</xdr:row>
      <xdr:rowOff>104775</xdr:rowOff>
    </xdr:to>
    <xdr:sp>
      <xdr:nvSpPr>
        <xdr:cNvPr id="2671" name="Host Control  623"/>
        <xdr:cNvSpPr/>
      </xdr:nvSpPr>
      <xdr:spPr>
        <a:xfrm>
          <a:off x="0" y="521208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1</xdr:col>
      <xdr:colOff>0</xdr:colOff>
      <xdr:row>308</xdr:row>
      <xdr:rowOff>85725</xdr:rowOff>
    </xdr:to>
    <xdr:sp>
      <xdr:nvSpPr>
        <xdr:cNvPr id="2672" name="Host Control  624"/>
        <xdr:cNvSpPr/>
      </xdr:nvSpPr>
      <xdr:spPr>
        <a:xfrm>
          <a:off x="0" y="5229225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306</xdr:row>
      <xdr:rowOff>0</xdr:rowOff>
    </xdr:from>
    <xdr:to>
      <xdr:col>1</xdr:col>
      <xdr:colOff>0</xdr:colOff>
      <xdr:row>309</xdr:row>
      <xdr:rowOff>85725</xdr:rowOff>
    </xdr:to>
    <xdr:sp>
      <xdr:nvSpPr>
        <xdr:cNvPr id="2673" name="Host Control  625"/>
        <xdr:cNvSpPr/>
      </xdr:nvSpPr>
      <xdr:spPr>
        <a:xfrm>
          <a:off x="0" y="5246370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307</xdr:row>
      <xdr:rowOff>0</xdr:rowOff>
    </xdr:from>
    <xdr:to>
      <xdr:col>1</xdr:col>
      <xdr:colOff>0</xdr:colOff>
      <xdr:row>310</xdr:row>
      <xdr:rowOff>85725</xdr:rowOff>
    </xdr:to>
    <xdr:sp>
      <xdr:nvSpPr>
        <xdr:cNvPr id="2674" name="Host Control  626"/>
        <xdr:cNvSpPr/>
      </xdr:nvSpPr>
      <xdr:spPr>
        <a:xfrm>
          <a:off x="0" y="5263515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1</xdr:col>
      <xdr:colOff>0</xdr:colOff>
      <xdr:row>311</xdr:row>
      <xdr:rowOff>85725</xdr:rowOff>
    </xdr:to>
    <xdr:sp>
      <xdr:nvSpPr>
        <xdr:cNvPr id="2675" name="Host Control  627"/>
        <xdr:cNvSpPr/>
      </xdr:nvSpPr>
      <xdr:spPr>
        <a:xfrm>
          <a:off x="0" y="5280660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309</xdr:row>
      <xdr:rowOff>0</xdr:rowOff>
    </xdr:from>
    <xdr:to>
      <xdr:col>1</xdr:col>
      <xdr:colOff>0</xdr:colOff>
      <xdr:row>311</xdr:row>
      <xdr:rowOff>104775</xdr:rowOff>
    </xdr:to>
    <xdr:sp>
      <xdr:nvSpPr>
        <xdr:cNvPr id="2676" name="Host Control  628"/>
        <xdr:cNvSpPr/>
      </xdr:nvSpPr>
      <xdr:spPr>
        <a:xfrm>
          <a:off x="0" y="529780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1</xdr:col>
      <xdr:colOff>0</xdr:colOff>
      <xdr:row>312</xdr:row>
      <xdr:rowOff>104775</xdr:rowOff>
    </xdr:to>
    <xdr:sp>
      <xdr:nvSpPr>
        <xdr:cNvPr id="2677" name="Host Control  629"/>
        <xdr:cNvSpPr/>
      </xdr:nvSpPr>
      <xdr:spPr>
        <a:xfrm>
          <a:off x="0" y="531495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1</xdr:col>
      <xdr:colOff>0</xdr:colOff>
      <xdr:row>313</xdr:row>
      <xdr:rowOff>104775</xdr:rowOff>
    </xdr:to>
    <xdr:sp>
      <xdr:nvSpPr>
        <xdr:cNvPr id="2678" name="Host Control  630"/>
        <xdr:cNvSpPr/>
      </xdr:nvSpPr>
      <xdr:spPr>
        <a:xfrm>
          <a:off x="0" y="533209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312</xdr:row>
      <xdr:rowOff>0</xdr:rowOff>
    </xdr:from>
    <xdr:to>
      <xdr:col>1</xdr:col>
      <xdr:colOff>0</xdr:colOff>
      <xdr:row>314</xdr:row>
      <xdr:rowOff>104775</xdr:rowOff>
    </xdr:to>
    <xdr:sp>
      <xdr:nvSpPr>
        <xdr:cNvPr id="2679" name="Host Control  631"/>
        <xdr:cNvSpPr/>
      </xdr:nvSpPr>
      <xdr:spPr>
        <a:xfrm>
          <a:off x="0" y="534924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313</xdr:row>
      <xdr:rowOff>0</xdr:rowOff>
    </xdr:from>
    <xdr:to>
      <xdr:col>1</xdr:col>
      <xdr:colOff>0</xdr:colOff>
      <xdr:row>316</xdr:row>
      <xdr:rowOff>85725</xdr:rowOff>
    </xdr:to>
    <xdr:sp>
      <xdr:nvSpPr>
        <xdr:cNvPr id="2680" name="Host Control  632"/>
        <xdr:cNvSpPr/>
      </xdr:nvSpPr>
      <xdr:spPr>
        <a:xfrm>
          <a:off x="0" y="5366385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314</xdr:row>
      <xdr:rowOff>0</xdr:rowOff>
    </xdr:from>
    <xdr:to>
      <xdr:col>1</xdr:col>
      <xdr:colOff>0</xdr:colOff>
      <xdr:row>317</xdr:row>
      <xdr:rowOff>85725</xdr:rowOff>
    </xdr:to>
    <xdr:sp>
      <xdr:nvSpPr>
        <xdr:cNvPr id="2681" name="Host Control  633"/>
        <xdr:cNvSpPr/>
      </xdr:nvSpPr>
      <xdr:spPr>
        <a:xfrm>
          <a:off x="0" y="5383530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1</xdr:col>
      <xdr:colOff>0</xdr:colOff>
      <xdr:row>318</xdr:row>
      <xdr:rowOff>95250</xdr:rowOff>
    </xdr:to>
    <xdr:sp>
      <xdr:nvSpPr>
        <xdr:cNvPr id="2682" name="Host Control  634"/>
        <xdr:cNvSpPr/>
      </xdr:nvSpPr>
      <xdr:spPr>
        <a:xfrm>
          <a:off x="0" y="54006750"/>
          <a:ext cx="685800" cy="6096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316</xdr:row>
      <xdr:rowOff>0</xdr:rowOff>
    </xdr:from>
    <xdr:to>
      <xdr:col>1</xdr:col>
      <xdr:colOff>0</xdr:colOff>
      <xdr:row>319</xdr:row>
      <xdr:rowOff>85725</xdr:rowOff>
    </xdr:to>
    <xdr:sp>
      <xdr:nvSpPr>
        <xdr:cNvPr id="2683" name="Host Control  635"/>
        <xdr:cNvSpPr/>
      </xdr:nvSpPr>
      <xdr:spPr>
        <a:xfrm>
          <a:off x="0" y="5417820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317</xdr:row>
      <xdr:rowOff>0</xdr:rowOff>
    </xdr:from>
    <xdr:to>
      <xdr:col>1</xdr:col>
      <xdr:colOff>0</xdr:colOff>
      <xdr:row>319</xdr:row>
      <xdr:rowOff>104775</xdr:rowOff>
    </xdr:to>
    <xdr:sp>
      <xdr:nvSpPr>
        <xdr:cNvPr id="2684" name="Host Control  636"/>
        <xdr:cNvSpPr/>
      </xdr:nvSpPr>
      <xdr:spPr>
        <a:xfrm>
          <a:off x="0" y="543496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318</xdr:row>
      <xdr:rowOff>0</xdr:rowOff>
    </xdr:from>
    <xdr:to>
      <xdr:col>1</xdr:col>
      <xdr:colOff>0</xdr:colOff>
      <xdr:row>320</xdr:row>
      <xdr:rowOff>104775</xdr:rowOff>
    </xdr:to>
    <xdr:sp>
      <xdr:nvSpPr>
        <xdr:cNvPr id="2685" name="Host Control  637"/>
        <xdr:cNvSpPr/>
      </xdr:nvSpPr>
      <xdr:spPr>
        <a:xfrm>
          <a:off x="0" y="5452110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319</xdr:row>
      <xdr:rowOff>0</xdr:rowOff>
    </xdr:from>
    <xdr:to>
      <xdr:col>1</xdr:col>
      <xdr:colOff>0</xdr:colOff>
      <xdr:row>321</xdr:row>
      <xdr:rowOff>104775</xdr:rowOff>
    </xdr:to>
    <xdr:sp>
      <xdr:nvSpPr>
        <xdr:cNvPr id="2686" name="Host Control  638"/>
        <xdr:cNvSpPr/>
      </xdr:nvSpPr>
      <xdr:spPr>
        <a:xfrm>
          <a:off x="0" y="546925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1</xdr:col>
      <xdr:colOff>0</xdr:colOff>
      <xdr:row>323</xdr:row>
      <xdr:rowOff>85725</xdr:rowOff>
    </xdr:to>
    <xdr:sp>
      <xdr:nvSpPr>
        <xdr:cNvPr id="2687" name="Host Control  639"/>
        <xdr:cNvSpPr/>
      </xdr:nvSpPr>
      <xdr:spPr>
        <a:xfrm>
          <a:off x="0" y="54864000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321</xdr:row>
      <xdr:rowOff>0</xdr:rowOff>
    </xdr:from>
    <xdr:to>
      <xdr:col>1</xdr:col>
      <xdr:colOff>0</xdr:colOff>
      <xdr:row>323</xdr:row>
      <xdr:rowOff>104775</xdr:rowOff>
    </xdr:to>
    <xdr:sp>
      <xdr:nvSpPr>
        <xdr:cNvPr id="2688" name="Host Control  640"/>
        <xdr:cNvSpPr/>
      </xdr:nvSpPr>
      <xdr:spPr>
        <a:xfrm>
          <a:off x="0" y="55035450"/>
          <a:ext cx="685800" cy="4476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0</xdr:colOff>
      <xdr:row>4</xdr:row>
      <xdr:rowOff>104775</xdr:rowOff>
    </xdr:to>
    <xdr:sp>
      <xdr:nvSpPr>
        <xdr:cNvPr id="4097" name="Host Control  1"/>
        <xdr:cNvSpPr/>
      </xdr:nvSpPr>
      <xdr:spPr>
        <a:xfrm>
          <a:off x="0" y="3524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1</xdr:col>
      <xdr:colOff>0</xdr:colOff>
      <xdr:row>4</xdr:row>
      <xdr:rowOff>9525</xdr:rowOff>
    </xdr:to>
    <xdr:sp>
      <xdr:nvSpPr>
        <xdr:cNvPr id="4098" name="Host Control  2"/>
        <xdr:cNvSpPr/>
      </xdr:nvSpPr>
      <xdr:spPr>
        <a:xfrm>
          <a:off x="0" y="5334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0</xdr:colOff>
      <xdr:row>7</xdr:row>
      <xdr:rowOff>85725</xdr:rowOff>
    </xdr:to>
    <xdr:sp>
      <xdr:nvSpPr>
        <xdr:cNvPr id="4099" name="Host Control  3"/>
        <xdr:cNvSpPr/>
      </xdr:nvSpPr>
      <xdr:spPr>
        <a:xfrm>
          <a:off x="0" y="714375"/>
          <a:ext cx="685800" cy="6286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0</xdr:colOff>
      <xdr:row>7</xdr:row>
      <xdr:rowOff>0</xdr:rowOff>
    </xdr:to>
    <xdr:sp>
      <xdr:nvSpPr>
        <xdr:cNvPr id="4100" name="Host Control  4"/>
        <xdr:cNvSpPr/>
      </xdr:nvSpPr>
      <xdr:spPr>
        <a:xfrm>
          <a:off x="0" y="895350"/>
          <a:ext cx="685800" cy="3619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0</xdr:colOff>
      <xdr:row>7</xdr:row>
      <xdr:rowOff>9525</xdr:rowOff>
    </xdr:to>
    <xdr:sp>
      <xdr:nvSpPr>
        <xdr:cNvPr id="4101" name="Host Control  5"/>
        <xdr:cNvSpPr/>
      </xdr:nvSpPr>
      <xdr:spPr>
        <a:xfrm>
          <a:off x="0" y="107632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0</xdr:colOff>
      <xdr:row>9</xdr:row>
      <xdr:rowOff>104775</xdr:rowOff>
    </xdr:to>
    <xdr:sp>
      <xdr:nvSpPr>
        <xdr:cNvPr id="4102" name="Host Control  6"/>
        <xdr:cNvSpPr/>
      </xdr:nvSpPr>
      <xdr:spPr>
        <a:xfrm>
          <a:off x="0" y="12573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1</xdr:col>
      <xdr:colOff>0</xdr:colOff>
      <xdr:row>9</xdr:row>
      <xdr:rowOff>19050</xdr:rowOff>
    </xdr:to>
    <xdr:sp>
      <xdr:nvSpPr>
        <xdr:cNvPr id="4103" name="Host Control  7"/>
        <xdr:cNvSpPr/>
      </xdr:nvSpPr>
      <xdr:spPr>
        <a:xfrm>
          <a:off x="0" y="1438275"/>
          <a:ext cx="685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1</xdr:col>
      <xdr:colOff>0</xdr:colOff>
      <xdr:row>10</xdr:row>
      <xdr:rowOff>9525</xdr:rowOff>
    </xdr:to>
    <xdr:sp>
      <xdr:nvSpPr>
        <xdr:cNvPr id="4104" name="Host Control  8"/>
        <xdr:cNvSpPr/>
      </xdr:nvSpPr>
      <xdr:spPr>
        <a:xfrm>
          <a:off x="0" y="16192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0</xdr:colOff>
      <xdr:row>12</xdr:row>
      <xdr:rowOff>104775</xdr:rowOff>
    </xdr:to>
    <xdr:sp>
      <xdr:nvSpPr>
        <xdr:cNvPr id="4105" name="Host Control  9"/>
        <xdr:cNvSpPr/>
      </xdr:nvSpPr>
      <xdr:spPr>
        <a:xfrm>
          <a:off x="0" y="18002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1</xdr:col>
      <xdr:colOff>0</xdr:colOff>
      <xdr:row>13</xdr:row>
      <xdr:rowOff>114300</xdr:rowOff>
    </xdr:to>
    <xdr:sp>
      <xdr:nvSpPr>
        <xdr:cNvPr id="4106" name="Host Control  10"/>
        <xdr:cNvSpPr/>
      </xdr:nvSpPr>
      <xdr:spPr>
        <a:xfrm>
          <a:off x="0" y="1981200"/>
          <a:ext cx="685800" cy="4762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1</xdr:col>
      <xdr:colOff>0</xdr:colOff>
      <xdr:row>13</xdr:row>
      <xdr:rowOff>152400</xdr:rowOff>
    </xdr:to>
    <xdr:sp>
      <xdr:nvSpPr>
        <xdr:cNvPr id="4107" name="Host Control  11"/>
        <xdr:cNvSpPr/>
      </xdr:nvSpPr>
      <xdr:spPr>
        <a:xfrm>
          <a:off x="0" y="2162175"/>
          <a:ext cx="685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1</xdr:col>
      <xdr:colOff>0</xdr:colOff>
      <xdr:row>15</xdr:row>
      <xdr:rowOff>104775</xdr:rowOff>
    </xdr:to>
    <xdr:sp>
      <xdr:nvSpPr>
        <xdr:cNvPr id="4108" name="Host Control  12"/>
        <xdr:cNvSpPr/>
      </xdr:nvSpPr>
      <xdr:spPr>
        <a:xfrm>
          <a:off x="0" y="23431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1</xdr:col>
      <xdr:colOff>0</xdr:colOff>
      <xdr:row>15</xdr:row>
      <xdr:rowOff>19050</xdr:rowOff>
    </xdr:to>
    <xdr:sp>
      <xdr:nvSpPr>
        <xdr:cNvPr id="4109" name="Host Control  13"/>
        <xdr:cNvSpPr/>
      </xdr:nvSpPr>
      <xdr:spPr>
        <a:xfrm>
          <a:off x="0" y="2524125"/>
          <a:ext cx="685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1</xdr:col>
      <xdr:colOff>0</xdr:colOff>
      <xdr:row>16</xdr:row>
      <xdr:rowOff>9525</xdr:rowOff>
    </xdr:to>
    <xdr:sp>
      <xdr:nvSpPr>
        <xdr:cNvPr id="4110" name="Host Control  14"/>
        <xdr:cNvSpPr/>
      </xdr:nvSpPr>
      <xdr:spPr>
        <a:xfrm>
          <a:off x="0" y="27051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1</xdr:col>
      <xdr:colOff>0</xdr:colOff>
      <xdr:row>18</xdr:row>
      <xdr:rowOff>104775</xdr:rowOff>
    </xdr:to>
    <xdr:sp>
      <xdr:nvSpPr>
        <xdr:cNvPr id="4111" name="Host Control  15"/>
        <xdr:cNvSpPr/>
      </xdr:nvSpPr>
      <xdr:spPr>
        <a:xfrm>
          <a:off x="0" y="28860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1</xdr:col>
      <xdr:colOff>0</xdr:colOff>
      <xdr:row>19</xdr:row>
      <xdr:rowOff>0</xdr:rowOff>
    </xdr:to>
    <xdr:sp>
      <xdr:nvSpPr>
        <xdr:cNvPr id="4112" name="Host Control  16"/>
        <xdr:cNvSpPr/>
      </xdr:nvSpPr>
      <xdr:spPr>
        <a:xfrm>
          <a:off x="0" y="3067050"/>
          <a:ext cx="685800" cy="3619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1</xdr:col>
      <xdr:colOff>0</xdr:colOff>
      <xdr:row>19</xdr:row>
      <xdr:rowOff>9525</xdr:rowOff>
    </xdr:to>
    <xdr:sp>
      <xdr:nvSpPr>
        <xdr:cNvPr id="4113" name="Host Control  17"/>
        <xdr:cNvSpPr/>
      </xdr:nvSpPr>
      <xdr:spPr>
        <a:xfrm>
          <a:off x="0" y="324802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1</xdr:col>
      <xdr:colOff>0</xdr:colOff>
      <xdr:row>21</xdr:row>
      <xdr:rowOff>104775</xdr:rowOff>
    </xdr:to>
    <xdr:sp>
      <xdr:nvSpPr>
        <xdr:cNvPr id="4114" name="Host Control  18"/>
        <xdr:cNvSpPr/>
      </xdr:nvSpPr>
      <xdr:spPr>
        <a:xfrm>
          <a:off x="0" y="34290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1</xdr:col>
      <xdr:colOff>0</xdr:colOff>
      <xdr:row>21</xdr:row>
      <xdr:rowOff>9525</xdr:rowOff>
    </xdr:to>
    <xdr:sp>
      <xdr:nvSpPr>
        <xdr:cNvPr id="4115" name="Host Control  19"/>
        <xdr:cNvSpPr/>
      </xdr:nvSpPr>
      <xdr:spPr>
        <a:xfrm>
          <a:off x="0" y="360997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1</xdr:col>
      <xdr:colOff>0</xdr:colOff>
      <xdr:row>22</xdr:row>
      <xdr:rowOff>9525</xdr:rowOff>
    </xdr:to>
    <xdr:sp>
      <xdr:nvSpPr>
        <xdr:cNvPr id="4116" name="Host Control  20"/>
        <xdr:cNvSpPr/>
      </xdr:nvSpPr>
      <xdr:spPr>
        <a:xfrm>
          <a:off x="0" y="37909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1</xdr:col>
      <xdr:colOff>0</xdr:colOff>
      <xdr:row>23</xdr:row>
      <xdr:rowOff>152400</xdr:rowOff>
    </xdr:to>
    <xdr:sp>
      <xdr:nvSpPr>
        <xdr:cNvPr id="4117" name="Host Control  21"/>
        <xdr:cNvSpPr/>
      </xdr:nvSpPr>
      <xdr:spPr>
        <a:xfrm>
          <a:off x="0" y="3971925"/>
          <a:ext cx="685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1</xdr:col>
      <xdr:colOff>0</xdr:colOff>
      <xdr:row>24</xdr:row>
      <xdr:rowOff>9525</xdr:rowOff>
    </xdr:to>
    <xdr:sp>
      <xdr:nvSpPr>
        <xdr:cNvPr id="4118" name="Host Control  22"/>
        <xdr:cNvSpPr/>
      </xdr:nvSpPr>
      <xdr:spPr>
        <a:xfrm>
          <a:off x="0" y="41529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1</xdr:col>
      <xdr:colOff>0</xdr:colOff>
      <xdr:row>25</xdr:row>
      <xdr:rowOff>9525</xdr:rowOff>
    </xdr:to>
    <xdr:sp>
      <xdr:nvSpPr>
        <xdr:cNvPr id="4119" name="Host Control  23"/>
        <xdr:cNvSpPr/>
      </xdr:nvSpPr>
      <xdr:spPr>
        <a:xfrm>
          <a:off x="0" y="433387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1</xdr:col>
      <xdr:colOff>0</xdr:colOff>
      <xdr:row>26</xdr:row>
      <xdr:rowOff>9525</xdr:rowOff>
    </xdr:to>
    <xdr:sp>
      <xdr:nvSpPr>
        <xdr:cNvPr id="4120" name="Host Control  24"/>
        <xdr:cNvSpPr/>
      </xdr:nvSpPr>
      <xdr:spPr>
        <a:xfrm>
          <a:off x="0" y="45148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1</xdr:col>
      <xdr:colOff>0</xdr:colOff>
      <xdr:row>27</xdr:row>
      <xdr:rowOff>9525</xdr:rowOff>
    </xdr:to>
    <xdr:sp>
      <xdr:nvSpPr>
        <xdr:cNvPr id="4121" name="Host Control  25"/>
        <xdr:cNvSpPr/>
      </xdr:nvSpPr>
      <xdr:spPr>
        <a:xfrm>
          <a:off x="0" y="469582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1</xdr:col>
      <xdr:colOff>0</xdr:colOff>
      <xdr:row>29</xdr:row>
      <xdr:rowOff>104775</xdr:rowOff>
    </xdr:to>
    <xdr:sp>
      <xdr:nvSpPr>
        <xdr:cNvPr id="4122" name="Host Control  26"/>
        <xdr:cNvSpPr/>
      </xdr:nvSpPr>
      <xdr:spPr>
        <a:xfrm>
          <a:off x="0" y="48768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1</xdr:col>
      <xdr:colOff>0</xdr:colOff>
      <xdr:row>29</xdr:row>
      <xdr:rowOff>152400</xdr:rowOff>
    </xdr:to>
    <xdr:sp>
      <xdr:nvSpPr>
        <xdr:cNvPr id="4123" name="Host Control  27"/>
        <xdr:cNvSpPr/>
      </xdr:nvSpPr>
      <xdr:spPr>
        <a:xfrm>
          <a:off x="0" y="5057775"/>
          <a:ext cx="685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1</xdr:col>
      <xdr:colOff>0</xdr:colOff>
      <xdr:row>31</xdr:row>
      <xdr:rowOff>104775</xdr:rowOff>
    </xdr:to>
    <xdr:sp>
      <xdr:nvSpPr>
        <xdr:cNvPr id="4124" name="Host Control  28"/>
        <xdr:cNvSpPr/>
      </xdr:nvSpPr>
      <xdr:spPr>
        <a:xfrm>
          <a:off x="0" y="52387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1</xdr:col>
      <xdr:colOff>0</xdr:colOff>
      <xdr:row>32</xdr:row>
      <xdr:rowOff>114300</xdr:rowOff>
    </xdr:to>
    <xdr:sp>
      <xdr:nvSpPr>
        <xdr:cNvPr id="4125" name="Host Control  29"/>
        <xdr:cNvSpPr/>
      </xdr:nvSpPr>
      <xdr:spPr>
        <a:xfrm>
          <a:off x="0" y="5419725"/>
          <a:ext cx="685800" cy="4762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1</xdr:col>
      <xdr:colOff>0</xdr:colOff>
      <xdr:row>32</xdr:row>
      <xdr:rowOff>152400</xdr:rowOff>
    </xdr:to>
    <xdr:sp>
      <xdr:nvSpPr>
        <xdr:cNvPr id="4126" name="Host Control  30"/>
        <xdr:cNvSpPr/>
      </xdr:nvSpPr>
      <xdr:spPr>
        <a:xfrm>
          <a:off x="0" y="5600700"/>
          <a:ext cx="685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1</xdr:col>
      <xdr:colOff>0</xdr:colOff>
      <xdr:row>33</xdr:row>
      <xdr:rowOff>9525</xdr:rowOff>
    </xdr:to>
    <xdr:sp>
      <xdr:nvSpPr>
        <xdr:cNvPr id="4127" name="Host Control  31"/>
        <xdr:cNvSpPr/>
      </xdr:nvSpPr>
      <xdr:spPr>
        <a:xfrm>
          <a:off x="0" y="578167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1</xdr:col>
      <xdr:colOff>0</xdr:colOff>
      <xdr:row>35</xdr:row>
      <xdr:rowOff>104775</xdr:rowOff>
    </xdr:to>
    <xdr:sp>
      <xdr:nvSpPr>
        <xdr:cNvPr id="4128" name="Host Control  32"/>
        <xdr:cNvSpPr/>
      </xdr:nvSpPr>
      <xdr:spPr>
        <a:xfrm>
          <a:off x="0" y="59626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1</xdr:col>
      <xdr:colOff>0</xdr:colOff>
      <xdr:row>35</xdr:row>
      <xdr:rowOff>152400</xdr:rowOff>
    </xdr:to>
    <xdr:sp>
      <xdr:nvSpPr>
        <xdr:cNvPr id="4129" name="Host Control  33"/>
        <xdr:cNvSpPr/>
      </xdr:nvSpPr>
      <xdr:spPr>
        <a:xfrm>
          <a:off x="0" y="6143625"/>
          <a:ext cx="685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1</xdr:col>
      <xdr:colOff>0</xdr:colOff>
      <xdr:row>37</xdr:row>
      <xdr:rowOff>104775</xdr:rowOff>
    </xdr:to>
    <xdr:sp>
      <xdr:nvSpPr>
        <xdr:cNvPr id="4130" name="Host Control  34"/>
        <xdr:cNvSpPr/>
      </xdr:nvSpPr>
      <xdr:spPr>
        <a:xfrm>
          <a:off x="0" y="63246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1</xdr:col>
      <xdr:colOff>0</xdr:colOff>
      <xdr:row>37</xdr:row>
      <xdr:rowOff>152400</xdr:rowOff>
    </xdr:to>
    <xdr:sp>
      <xdr:nvSpPr>
        <xdr:cNvPr id="4131" name="Host Control  35"/>
        <xdr:cNvSpPr/>
      </xdr:nvSpPr>
      <xdr:spPr>
        <a:xfrm>
          <a:off x="0" y="6505575"/>
          <a:ext cx="685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1</xdr:col>
      <xdr:colOff>0</xdr:colOff>
      <xdr:row>38</xdr:row>
      <xdr:rowOff>9525</xdr:rowOff>
    </xdr:to>
    <xdr:sp>
      <xdr:nvSpPr>
        <xdr:cNvPr id="4132" name="Host Control  36"/>
        <xdr:cNvSpPr/>
      </xdr:nvSpPr>
      <xdr:spPr>
        <a:xfrm>
          <a:off x="0" y="66865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1</xdr:col>
      <xdr:colOff>0</xdr:colOff>
      <xdr:row>39</xdr:row>
      <xdr:rowOff>9525</xdr:rowOff>
    </xdr:to>
    <xdr:sp>
      <xdr:nvSpPr>
        <xdr:cNvPr id="4133" name="Host Control  37"/>
        <xdr:cNvSpPr/>
      </xdr:nvSpPr>
      <xdr:spPr>
        <a:xfrm>
          <a:off x="0" y="686752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1</xdr:col>
      <xdr:colOff>0</xdr:colOff>
      <xdr:row>40</xdr:row>
      <xdr:rowOff>9525</xdr:rowOff>
    </xdr:to>
    <xdr:sp>
      <xdr:nvSpPr>
        <xdr:cNvPr id="4134" name="Host Control  38"/>
        <xdr:cNvSpPr/>
      </xdr:nvSpPr>
      <xdr:spPr>
        <a:xfrm>
          <a:off x="0" y="7048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1</xdr:col>
      <xdr:colOff>0</xdr:colOff>
      <xdr:row>41</xdr:row>
      <xdr:rowOff>9525</xdr:rowOff>
    </xdr:to>
    <xdr:sp>
      <xdr:nvSpPr>
        <xdr:cNvPr id="4135" name="Host Control  39"/>
        <xdr:cNvSpPr/>
      </xdr:nvSpPr>
      <xdr:spPr>
        <a:xfrm>
          <a:off x="0" y="722947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1</xdr:col>
      <xdr:colOff>0</xdr:colOff>
      <xdr:row>43</xdr:row>
      <xdr:rowOff>104775</xdr:rowOff>
    </xdr:to>
    <xdr:sp>
      <xdr:nvSpPr>
        <xdr:cNvPr id="4136" name="Host Control  40"/>
        <xdr:cNvSpPr/>
      </xdr:nvSpPr>
      <xdr:spPr>
        <a:xfrm>
          <a:off x="0" y="74104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1</xdr:col>
      <xdr:colOff>0</xdr:colOff>
      <xdr:row>43</xdr:row>
      <xdr:rowOff>19050</xdr:rowOff>
    </xdr:to>
    <xdr:sp>
      <xdr:nvSpPr>
        <xdr:cNvPr id="4137" name="Host Control  41"/>
        <xdr:cNvSpPr/>
      </xdr:nvSpPr>
      <xdr:spPr>
        <a:xfrm>
          <a:off x="0" y="7591425"/>
          <a:ext cx="685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1</xdr:col>
      <xdr:colOff>0</xdr:colOff>
      <xdr:row>44</xdr:row>
      <xdr:rowOff>9525</xdr:rowOff>
    </xdr:to>
    <xdr:sp>
      <xdr:nvSpPr>
        <xdr:cNvPr id="4138" name="Host Control  42"/>
        <xdr:cNvSpPr/>
      </xdr:nvSpPr>
      <xdr:spPr>
        <a:xfrm>
          <a:off x="0" y="77724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0</xdr:colOff>
      <xdr:row>45</xdr:row>
      <xdr:rowOff>9525</xdr:rowOff>
    </xdr:to>
    <xdr:sp>
      <xdr:nvSpPr>
        <xdr:cNvPr id="4139" name="Host Control  43"/>
        <xdr:cNvSpPr/>
      </xdr:nvSpPr>
      <xdr:spPr>
        <a:xfrm>
          <a:off x="0" y="795337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0</xdr:colOff>
      <xdr:row>46</xdr:row>
      <xdr:rowOff>9525</xdr:rowOff>
    </xdr:to>
    <xdr:sp>
      <xdr:nvSpPr>
        <xdr:cNvPr id="4140" name="Host Control  44"/>
        <xdr:cNvSpPr/>
      </xdr:nvSpPr>
      <xdr:spPr>
        <a:xfrm>
          <a:off x="0" y="81343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0</xdr:colOff>
      <xdr:row>47</xdr:row>
      <xdr:rowOff>9525</xdr:rowOff>
    </xdr:to>
    <xdr:sp>
      <xdr:nvSpPr>
        <xdr:cNvPr id="4141" name="Host Control  45"/>
        <xdr:cNvSpPr/>
      </xdr:nvSpPr>
      <xdr:spPr>
        <a:xfrm>
          <a:off x="0" y="831532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0</xdr:colOff>
      <xdr:row>48</xdr:row>
      <xdr:rowOff>9525</xdr:rowOff>
    </xdr:to>
    <xdr:sp>
      <xdr:nvSpPr>
        <xdr:cNvPr id="4142" name="Host Control  46"/>
        <xdr:cNvSpPr/>
      </xdr:nvSpPr>
      <xdr:spPr>
        <a:xfrm>
          <a:off x="0" y="84963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0</xdr:colOff>
      <xdr:row>49</xdr:row>
      <xdr:rowOff>9525</xdr:rowOff>
    </xdr:to>
    <xdr:sp>
      <xdr:nvSpPr>
        <xdr:cNvPr id="4143" name="Host Control  47"/>
        <xdr:cNvSpPr/>
      </xdr:nvSpPr>
      <xdr:spPr>
        <a:xfrm>
          <a:off x="0" y="867727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0</xdr:colOff>
      <xdr:row>50</xdr:row>
      <xdr:rowOff>9525</xdr:rowOff>
    </xdr:to>
    <xdr:sp>
      <xdr:nvSpPr>
        <xdr:cNvPr id="4144" name="Host Control  48"/>
        <xdr:cNvSpPr/>
      </xdr:nvSpPr>
      <xdr:spPr>
        <a:xfrm>
          <a:off x="0" y="88582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0</xdr:colOff>
      <xdr:row>51</xdr:row>
      <xdr:rowOff>9525</xdr:rowOff>
    </xdr:to>
    <xdr:sp>
      <xdr:nvSpPr>
        <xdr:cNvPr id="4145" name="Host Control  49"/>
        <xdr:cNvSpPr/>
      </xdr:nvSpPr>
      <xdr:spPr>
        <a:xfrm>
          <a:off x="0" y="903922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1</xdr:col>
      <xdr:colOff>0</xdr:colOff>
      <xdr:row>52</xdr:row>
      <xdr:rowOff>9525</xdr:rowOff>
    </xdr:to>
    <xdr:sp>
      <xdr:nvSpPr>
        <xdr:cNvPr id="4146" name="Host Control  50"/>
        <xdr:cNvSpPr/>
      </xdr:nvSpPr>
      <xdr:spPr>
        <a:xfrm>
          <a:off x="0" y="92202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1</xdr:col>
      <xdr:colOff>0</xdr:colOff>
      <xdr:row>53</xdr:row>
      <xdr:rowOff>9525</xdr:rowOff>
    </xdr:to>
    <xdr:sp>
      <xdr:nvSpPr>
        <xdr:cNvPr id="4147" name="Host Control  51"/>
        <xdr:cNvSpPr/>
      </xdr:nvSpPr>
      <xdr:spPr>
        <a:xfrm>
          <a:off x="0" y="940117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1</xdr:col>
      <xdr:colOff>0</xdr:colOff>
      <xdr:row>54</xdr:row>
      <xdr:rowOff>9525</xdr:rowOff>
    </xdr:to>
    <xdr:sp>
      <xdr:nvSpPr>
        <xdr:cNvPr id="4148" name="Host Control  52"/>
        <xdr:cNvSpPr/>
      </xdr:nvSpPr>
      <xdr:spPr>
        <a:xfrm>
          <a:off x="0" y="95821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1</xdr:col>
      <xdr:colOff>0</xdr:colOff>
      <xdr:row>56</xdr:row>
      <xdr:rowOff>104775</xdr:rowOff>
    </xdr:to>
    <xdr:sp>
      <xdr:nvSpPr>
        <xdr:cNvPr id="4149" name="Host Control  53"/>
        <xdr:cNvSpPr/>
      </xdr:nvSpPr>
      <xdr:spPr>
        <a:xfrm>
          <a:off x="0" y="97631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1</xdr:col>
      <xdr:colOff>0</xdr:colOff>
      <xdr:row>58</xdr:row>
      <xdr:rowOff>76200</xdr:rowOff>
    </xdr:to>
    <xdr:sp>
      <xdr:nvSpPr>
        <xdr:cNvPr id="4150" name="Host Control  54"/>
        <xdr:cNvSpPr/>
      </xdr:nvSpPr>
      <xdr:spPr>
        <a:xfrm>
          <a:off x="0" y="994410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1</xdr:col>
      <xdr:colOff>0</xdr:colOff>
      <xdr:row>57</xdr:row>
      <xdr:rowOff>28575</xdr:rowOff>
    </xdr:to>
    <xdr:sp>
      <xdr:nvSpPr>
        <xdr:cNvPr id="4151" name="Host Control  55"/>
        <xdr:cNvSpPr/>
      </xdr:nvSpPr>
      <xdr:spPr>
        <a:xfrm>
          <a:off x="0" y="10125075"/>
          <a:ext cx="6858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1</xdr:col>
      <xdr:colOff>0</xdr:colOff>
      <xdr:row>58</xdr:row>
      <xdr:rowOff>152400</xdr:rowOff>
    </xdr:to>
    <xdr:sp>
      <xdr:nvSpPr>
        <xdr:cNvPr id="4152" name="Host Control  56"/>
        <xdr:cNvSpPr/>
      </xdr:nvSpPr>
      <xdr:spPr>
        <a:xfrm>
          <a:off x="0" y="10306050"/>
          <a:ext cx="685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1</xdr:col>
      <xdr:colOff>0</xdr:colOff>
      <xdr:row>60</xdr:row>
      <xdr:rowOff>104775</xdr:rowOff>
    </xdr:to>
    <xdr:sp>
      <xdr:nvSpPr>
        <xdr:cNvPr id="4153" name="Host Control  57"/>
        <xdr:cNvSpPr/>
      </xdr:nvSpPr>
      <xdr:spPr>
        <a:xfrm>
          <a:off x="0" y="104870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1</xdr:col>
      <xdr:colOff>0</xdr:colOff>
      <xdr:row>61</xdr:row>
      <xdr:rowOff>0</xdr:rowOff>
    </xdr:to>
    <xdr:sp>
      <xdr:nvSpPr>
        <xdr:cNvPr id="4154" name="Host Control  58"/>
        <xdr:cNvSpPr/>
      </xdr:nvSpPr>
      <xdr:spPr>
        <a:xfrm>
          <a:off x="0" y="10668000"/>
          <a:ext cx="685800" cy="3619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1</xdr:col>
      <xdr:colOff>0</xdr:colOff>
      <xdr:row>61</xdr:row>
      <xdr:rowOff>9525</xdr:rowOff>
    </xdr:to>
    <xdr:sp>
      <xdr:nvSpPr>
        <xdr:cNvPr id="4155" name="Host Control  59"/>
        <xdr:cNvSpPr/>
      </xdr:nvSpPr>
      <xdr:spPr>
        <a:xfrm>
          <a:off x="0" y="1084897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1</xdr:col>
      <xdr:colOff>0</xdr:colOff>
      <xdr:row>63</xdr:row>
      <xdr:rowOff>104775</xdr:rowOff>
    </xdr:to>
    <xdr:sp>
      <xdr:nvSpPr>
        <xdr:cNvPr id="4156" name="Host Control  60"/>
        <xdr:cNvSpPr/>
      </xdr:nvSpPr>
      <xdr:spPr>
        <a:xfrm>
          <a:off x="0" y="110299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1</xdr:col>
      <xdr:colOff>0</xdr:colOff>
      <xdr:row>63</xdr:row>
      <xdr:rowOff>19050</xdr:rowOff>
    </xdr:to>
    <xdr:sp>
      <xdr:nvSpPr>
        <xdr:cNvPr id="4157" name="Host Control  61"/>
        <xdr:cNvSpPr/>
      </xdr:nvSpPr>
      <xdr:spPr>
        <a:xfrm>
          <a:off x="0" y="11210925"/>
          <a:ext cx="685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1</xdr:col>
      <xdr:colOff>0</xdr:colOff>
      <xdr:row>65</xdr:row>
      <xdr:rowOff>104775</xdr:rowOff>
    </xdr:to>
    <xdr:sp>
      <xdr:nvSpPr>
        <xdr:cNvPr id="4158" name="Host Control  62"/>
        <xdr:cNvSpPr/>
      </xdr:nvSpPr>
      <xdr:spPr>
        <a:xfrm>
          <a:off x="0" y="113919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1</xdr:col>
      <xdr:colOff>0</xdr:colOff>
      <xdr:row>65</xdr:row>
      <xdr:rowOff>161925</xdr:rowOff>
    </xdr:to>
    <xdr:sp>
      <xdr:nvSpPr>
        <xdr:cNvPr id="4159" name="Host Control  63"/>
        <xdr:cNvSpPr/>
      </xdr:nvSpPr>
      <xdr:spPr>
        <a:xfrm>
          <a:off x="0" y="11572875"/>
          <a:ext cx="685800" cy="3429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1</xdr:col>
      <xdr:colOff>0</xdr:colOff>
      <xdr:row>66</xdr:row>
      <xdr:rowOff>19050</xdr:rowOff>
    </xdr:to>
    <xdr:sp>
      <xdr:nvSpPr>
        <xdr:cNvPr id="4160" name="Host Control  64"/>
        <xdr:cNvSpPr/>
      </xdr:nvSpPr>
      <xdr:spPr>
        <a:xfrm>
          <a:off x="0" y="11753850"/>
          <a:ext cx="685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1</xdr:col>
      <xdr:colOff>0</xdr:colOff>
      <xdr:row>67</xdr:row>
      <xdr:rowOff>9525</xdr:rowOff>
    </xdr:to>
    <xdr:sp>
      <xdr:nvSpPr>
        <xdr:cNvPr id="4161" name="Host Control  65"/>
        <xdr:cNvSpPr/>
      </xdr:nvSpPr>
      <xdr:spPr>
        <a:xfrm>
          <a:off x="0" y="1193482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1</xdr:col>
      <xdr:colOff>0</xdr:colOff>
      <xdr:row>68</xdr:row>
      <xdr:rowOff>9525</xdr:rowOff>
    </xdr:to>
    <xdr:sp>
      <xdr:nvSpPr>
        <xdr:cNvPr id="4162" name="Host Control  66"/>
        <xdr:cNvSpPr/>
      </xdr:nvSpPr>
      <xdr:spPr>
        <a:xfrm>
          <a:off x="0" y="121158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1</xdr:col>
      <xdr:colOff>0</xdr:colOff>
      <xdr:row>69</xdr:row>
      <xdr:rowOff>9525</xdr:rowOff>
    </xdr:to>
    <xdr:sp>
      <xdr:nvSpPr>
        <xdr:cNvPr id="4163" name="Host Control  67"/>
        <xdr:cNvSpPr/>
      </xdr:nvSpPr>
      <xdr:spPr>
        <a:xfrm>
          <a:off x="0" y="1229677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1</xdr:col>
      <xdr:colOff>0</xdr:colOff>
      <xdr:row>70</xdr:row>
      <xdr:rowOff>9525</xdr:rowOff>
    </xdr:to>
    <xdr:sp>
      <xdr:nvSpPr>
        <xdr:cNvPr id="4164" name="Host Control  68"/>
        <xdr:cNvSpPr/>
      </xdr:nvSpPr>
      <xdr:spPr>
        <a:xfrm>
          <a:off x="0" y="124777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0</xdr:colOff>
      <xdr:row>72</xdr:row>
      <xdr:rowOff>104775</xdr:rowOff>
    </xdr:to>
    <xdr:sp>
      <xdr:nvSpPr>
        <xdr:cNvPr id="4165" name="Host Control  69"/>
        <xdr:cNvSpPr/>
      </xdr:nvSpPr>
      <xdr:spPr>
        <a:xfrm>
          <a:off x="0" y="126587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1</xdr:col>
      <xdr:colOff>0</xdr:colOff>
      <xdr:row>73</xdr:row>
      <xdr:rowOff>0</xdr:rowOff>
    </xdr:to>
    <xdr:sp>
      <xdr:nvSpPr>
        <xdr:cNvPr id="4166" name="Host Control  70"/>
        <xdr:cNvSpPr/>
      </xdr:nvSpPr>
      <xdr:spPr>
        <a:xfrm>
          <a:off x="0" y="12839700"/>
          <a:ext cx="685800" cy="3619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1</xdr:col>
      <xdr:colOff>0</xdr:colOff>
      <xdr:row>73</xdr:row>
      <xdr:rowOff>9525</xdr:rowOff>
    </xdr:to>
    <xdr:sp>
      <xdr:nvSpPr>
        <xdr:cNvPr id="4167" name="Host Control  71"/>
        <xdr:cNvSpPr/>
      </xdr:nvSpPr>
      <xdr:spPr>
        <a:xfrm>
          <a:off x="0" y="1302067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1</xdr:col>
      <xdr:colOff>0</xdr:colOff>
      <xdr:row>75</xdr:row>
      <xdr:rowOff>104775</xdr:rowOff>
    </xdr:to>
    <xdr:sp>
      <xdr:nvSpPr>
        <xdr:cNvPr id="4168" name="Host Control  72"/>
        <xdr:cNvSpPr/>
      </xdr:nvSpPr>
      <xdr:spPr>
        <a:xfrm>
          <a:off x="0" y="132016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1</xdr:col>
      <xdr:colOff>0</xdr:colOff>
      <xdr:row>75</xdr:row>
      <xdr:rowOff>161925</xdr:rowOff>
    </xdr:to>
    <xdr:sp>
      <xdr:nvSpPr>
        <xdr:cNvPr id="4169" name="Host Control  73"/>
        <xdr:cNvSpPr/>
      </xdr:nvSpPr>
      <xdr:spPr>
        <a:xfrm>
          <a:off x="0" y="13382625"/>
          <a:ext cx="685800" cy="3429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1</xdr:col>
      <xdr:colOff>0</xdr:colOff>
      <xdr:row>76</xdr:row>
      <xdr:rowOff>9525</xdr:rowOff>
    </xdr:to>
    <xdr:sp>
      <xdr:nvSpPr>
        <xdr:cNvPr id="4170" name="Host Control  74"/>
        <xdr:cNvSpPr/>
      </xdr:nvSpPr>
      <xdr:spPr>
        <a:xfrm>
          <a:off x="0" y="135636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76</xdr:row>
      <xdr:rowOff>0</xdr:rowOff>
    </xdr:from>
    <xdr:to>
      <xdr:col>1</xdr:col>
      <xdr:colOff>0</xdr:colOff>
      <xdr:row>77</xdr:row>
      <xdr:rowOff>9525</xdr:rowOff>
    </xdr:to>
    <xdr:sp>
      <xdr:nvSpPr>
        <xdr:cNvPr id="4171" name="Host Control  75"/>
        <xdr:cNvSpPr/>
      </xdr:nvSpPr>
      <xdr:spPr>
        <a:xfrm>
          <a:off x="0" y="1374457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1</xdr:col>
      <xdr:colOff>0</xdr:colOff>
      <xdr:row>78</xdr:row>
      <xdr:rowOff>9525</xdr:rowOff>
    </xdr:to>
    <xdr:sp>
      <xdr:nvSpPr>
        <xdr:cNvPr id="4172" name="Host Control  76"/>
        <xdr:cNvSpPr/>
      </xdr:nvSpPr>
      <xdr:spPr>
        <a:xfrm>
          <a:off x="0" y="139255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78</xdr:row>
      <xdr:rowOff>0</xdr:rowOff>
    </xdr:from>
    <xdr:to>
      <xdr:col>1</xdr:col>
      <xdr:colOff>0</xdr:colOff>
      <xdr:row>79</xdr:row>
      <xdr:rowOff>9525</xdr:rowOff>
    </xdr:to>
    <xdr:sp>
      <xdr:nvSpPr>
        <xdr:cNvPr id="4173" name="Host Control  77"/>
        <xdr:cNvSpPr/>
      </xdr:nvSpPr>
      <xdr:spPr>
        <a:xfrm>
          <a:off x="0" y="1410652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79</xdr:row>
      <xdr:rowOff>0</xdr:rowOff>
    </xdr:from>
    <xdr:to>
      <xdr:col>1</xdr:col>
      <xdr:colOff>0</xdr:colOff>
      <xdr:row>80</xdr:row>
      <xdr:rowOff>9525</xdr:rowOff>
    </xdr:to>
    <xdr:sp>
      <xdr:nvSpPr>
        <xdr:cNvPr id="4174" name="Host Control  78"/>
        <xdr:cNvSpPr/>
      </xdr:nvSpPr>
      <xdr:spPr>
        <a:xfrm>
          <a:off x="0" y="142875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1</xdr:col>
      <xdr:colOff>0</xdr:colOff>
      <xdr:row>81</xdr:row>
      <xdr:rowOff>9525</xdr:rowOff>
    </xdr:to>
    <xdr:sp>
      <xdr:nvSpPr>
        <xdr:cNvPr id="4175" name="Host Control  79"/>
        <xdr:cNvSpPr/>
      </xdr:nvSpPr>
      <xdr:spPr>
        <a:xfrm>
          <a:off x="0" y="1446847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1</xdr:col>
      <xdr:colOff>0</xdr:colOff>
      <xdr:row>82</xdr:row>
      <xdr:rowOff>9525</xdr:rowOff>
    </xdr:to>
    <xdr:sp>
      <xdr:nvSpPr>
        <xdr:cNvPr id="4176" name="Host Control  80"/>
        <xdr:cNvSpPr/>
      </xdr:nvSpPr>
      <xdr:spPr>
        <a:xfrm>
          <a:off x="0" y="146494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1</xdr:col>
      <xdr:colOff>0</xdr:colOff>
      <xdr:row>83</xdr:row>
      <xdr:rowOff>9525</xdr:rowOff>
    </xdr:to>
    <xdr:sp>
      <xdr:nvSpPr>
        <xdr:cNvPr id="4177" name="Host Control  81"/>
        <xdr:cNvSpPr/>
      </xdr:nvSpPr>
      <xdr:spPr>
        <a:xfrm>
          <a:off x="0" y="1483042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1</xdr:col>
      <xdr:colOff>0</xdr:colOff>
      <xdr:row>85</xdr:row>
      <xdr:rowOff>104775</xdr:rowOff>
    </xdr:to>
    <xdr:sp>
      <xdr:nvSpPr>
        <xdr:cNvPr id="4178" name="Host Control  82"/>
        <xdr:cNvSpPr/>
      </xdr:nvSpPr>
      <xdr:spPr>
        <a:xfrm>
          <a:off x="0" y="150114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1</xdr:col>
      <xdr:colOff>0</xdr:colOff>
      <xdr:row>86</xdr:row>
      <xdr:rowOff>0</xdr:rowOff>
    </xdr:to>
    <xdr:sp>
      <xdr:nvSpPr>
        <xdr:cNvPr id="4179" name="Host Control  83"/>
        <xdr:cNvSpPr/>
      </xdr:nvSpPr>
      <xdr:spPr>
        <a:xfrm>
          <a:off x="0" y="15192375"/>
          <a:ext cx="685800" cy="3619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1</xdr:col>
      <xdr:colOff>0</xdr:colOff>
      <xdr:row>86</xdr:row>
      <xdr:rowOff>9525</xdr:rowOff>
    </xdr:to>
    <xdr:sp>
      <xdr:nvSpPr>
        <xdr:cNvPr id="4180" name="Host Control  84"/>
        <xdr:cNvSpPr/>
      </xdr:nvSpPr>
      <xdr:spPr>
        <a:xfrm>
          <a:off x="0" y="153733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1</xdr:col>
      <xdr:colOff>0</xdr:colOff>
      <xdr:row>87</xdr:row>
      <xdr:rowOff>152400</xdr:rowOff>
    </xdr:to>
    <xdr:sp>
      <xdr:nvSpPr>
        <xdr:cNvPr id="4181" name="Host Control  85"/>
        <xdr:cNvSpPr/>
      </xdr:nvSpPr>
      <xdr:spPr>
        <a:xfrm>
          <a:off x="0" y="15554325"/>
          <a:ext cx="685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1</xdr:col>
      <xdr:colOff>0</xdr:colOff>
      <xdr:row>88</xdr:row>
      <xdr:rowOff>133350</xdr:rowOff>
    </xdr:to>
    <xdr:sp>
      <xdr:nvSpPr>
        <xdr:cNvPr id="4182" name="Host Control  86"/>
        <xdr:cNvSpPr/>
      </xdr:nvSpPr>
      <xdr:spPr>
        <a:xfrm>
          <a:off x="0" y="15735300"/>
          <a:ext cx="685800" cy="3143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88</xdr:row>
      <xdr:rowOff>0</xdr:rowOff>
    </xdr:from>
    <xdr:to>
      <xdr:col>1</xdr:col>
      <xdr:colOff>0</xdr:colOff>
      <xdr:row>90</xdr:row>
      <xdr:rowOff>104775</xdr:rowOff>
    </xdr:to>
    <xdr:sp>
      <xdr:nvSpPr>
        <xdr:cNvPr id="4183" name="Host Control  87"/>
        <xdr:cNvSpPr/>
      </xdr:nvSpPr>
      <xdr:spPr>
        <a:xfrm>
          <a:off x="0" y="159162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1</xdr:col>
      <xdr:colOff>0</xdr:colOff>
      <xdr:row>91</xdr:row>
      <xdr:rowOff>123825</xdr:rowOff>
    </xdr:to>
    <xdr:sp>
      <xdr:nvSpPr>
        <xdr:cNvPr id="4184" name="Host Control  88"/>
        <xdr:cNvSpPr/>
      </xdr:nvSpPr>
      <xdr:spPr>
        <a:xfrm>
          <a:off x="0" y="16097250"/>
          <a:ext cx="685800" cy="4857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1</xdr:col>
      <xdr:colOff>0</xdr:colOff>
      <xdr:row>92</xdr:row>
      <xdr:rowOff>104775</xdr:rowOff>
    </xdr:to>
    <xdr:sp>
      <xdr:nvSpPr>
        <xdr:cNvPr id="4185" name="Host Control  89"/>
        <xdr:cNvSpPr/>
      </xdr:nvSpPr>
      <xdr:spPr>
        <a:xfrm>
          <a:off x="0" y="162782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1</xdr:col>
      <xdr:colOff>0</xdr:colOff>
      <xdr:row>92</xdr:row>
      <xdr:rowOff>161925</xdr:rowOff>
    </xdr:to>
    <xdr:sp>
      <xdr:nvSpPr>
        <xdr:cNvPr id="4186" name="Host Control  90"/>
        <xdr:cNvSpPr/>
      </xdr:nvSpPr>
      <xdr:spPr>
        <a:xfrm>
          <a:off x="0" y="16459200"/>
          <a:ext cx="685800" cy="3429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1</xdr:col>
      <xdr:colOff>0</xdr:colOff>
      <xdr:row>93</xdr:row>
      <xdr:rowOff>9525</xdr:rowOff>
    </xdr:to>
    <xdr:sp>
      <xdr:nvSpPr>
        <xdr:cNvPr id="4187" name="Host Control  91"/>
        <xdr:cNvSpPr/>
      </xdr:nvSpPr>
      <xdr:spPr>
        <a:xfrm>
          <a:off x="0" y="1664017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1</xdr:col>
      <xdr:colOff>0</xdr:colOff>
      <xdr:row>94</xdr:row>
      <xdr:rowOff>9525</xdr:rowOff>
    </xdr:to>
    <xdr:sp>
      <xdr:nvSpPr>
        <xdr:cNvPr id="4188" name="Host Control  92"/>
        <xdr:cNvSpPr/>
      </xdr:nvSpPr>
      <xdr:spPr>
        <a:xfrm>
          <a:off x="0" y="168211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1</xdr:col>
      <xdr:colOff>0</xdr:colOff>
      <xdr:row>95</xdr:row>
      <xdr:rowOff>9525</xdr:rowOff>
    </xdr:to>
    <xdr:sp>
      <xdr:nvSpPr>
        <xdr:cNvPr id="4189" name="Host Control  93"/>
        <xdr:cNvSpPr/>
      </xdr:nvSpPr>
      <xdr:spPr>
        <a:xfrm>
          <a:off x="0" y="1700212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1</xdr:col>
      <xdr:colOff>0</xdr:colOff>
      <xdr:row>96</xdr:row>
      <xdr:rowOff>9525</xdr:rowOff>
    </xdr:to>
    <xdr:sp>
      <xdr:nvSpPr>
        <xdr:cNvPr id="4190" name="Host Control  94"/>
        <xdr:cNvSpPr/>
      </xdr:nvSpPr>
      <xdr:spPr>
        <a:xfrm>
          <a:off x="0" y="171831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1</xdr:col>
      <xdr:colOff>0</xdr:colOff>
      <xdr:row>97</xdr:row>
      <xdr:rowOff>9525</xdr:rowOff>
    </xdr:to>
    <xdr:sp>
      <xdr:nvSpPr>
        <xdr:cNvPr id="4191" name="Host Control  95"/>
        <xdr:cNvSpPr/>
      </xdr:nvSpPr>
      <xdr:spPr>
        <a:xfrm>
          <a:off x="0" y="1736407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1</xdr:col>
      <xdr:colOff>0</xdr:colOff>
      <xdr:row>98</xdr:row>
      <xdr:rowOff>9525</xdr:rowOff>
    </xdr:to>
    <xdr:sp>
      <xdr:nvSpPr>
        <xdr:cNvPr id="4192" name="Host Control  96"/>
        <xdr:cNvSpPr/>
      </xdr:nvSpPr>
      <xdr:spPr>
        <a:xfrm>
          <a:off x="0" y="175450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1</xdr:col>
      <xdr:colOff>0</xdr:colOff>
      <xdr:row>99</xdr:row>
      <xdr:rowOff>9525</xdr:rowOff>
    </xdr:to>
    <xdr:sp>
      <xdr:nvSpPr>
        <xdr:cNvPr id="4193" name="Host Control  97"/>
        <xdr:cNvSpPr/>
      </xdr:nvSpPr>
      <xdr:spPr>
        <a:xfrm>
          <a:off x="0" y="1772602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1</xdr:col>
      <xdr:colOff>0</xdr:colOff>
      <xdr:row>100</xdr:row>
      <xdr:rowOff>9525</xdr:rowOff>
    </xdr:to>
    <xdr:sp>
      <xdr:nvSpPr>
        <xdr:cNvPr id="4194" name="Host Control  98"/>
        <xdr:cNvSpPr/>
      </xdr:nvSpPr>
      <xdr:spPr>
        <a:xfrm>
          <a:off x="0" y="17907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1</xdr:col>
      <xdr:colOff>0</xdr:colOff>
      <xdr:row>101</xdr:row>
      <xdr:rowOff>9525</xdr:rowOff>
    </xdr:to>
    <xdr:sp>
      <xdr:nvSpPr>
        <xdr:cNvPr id="4195" name="Host Control  99"/>
        <xdr:cNvSpPr/>
      </xdr:nvSpPr>
      <xdr:spPr>
        <a:xfrm>
          <a:off x="0" y="1808797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1</xdr:col>
      <xdr:colOff>0</xdr:colOff>
      <xdr:row>102</xdr:row>
      <xdr:rowOff>9525</xdr:rowOff>
    </xdr:to>
    <xdr:sp>
      <xdr:nvSpPr>
        <xdr:cNvPr id="4196" name="Host Control  100"/>
        <xdr:cNvSpPr/>
      </xdr:nvSpPr>
      <xdr:spPr>
        <a:xfrm>
          <a:off x="0" y="182689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1</xdr:col>
      <xdr:colOff>0</xdr:colOff>
      <xdr:row>103</xdr:row>
      <xdr:rowOff>9525</xdr:rowOff>
    </xdr:to>
    <xdr:sp>
      <xdr:nvSpPr>
        <xdr:cNvPr id="4197" name="Host Control  101"/>
        <xdr:cNvSpPr/>
      </xdr:nvSpPr>
      <xdr:spPr>
        <a:xfrm>
          <a:off x="0" y="1844992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1</xdr:col>
      <xdr:colOff>0</xdr:colOff>
      <xdr:row>105</xdr:row>
      <xdr:rowOff>104775</xdr:rowOff>
    </xdr:to>
    <xdr:sp>
      <xdr:nvSpPr>
        <xdr:cNvPr id="4198" name="Host Control  102"/>
        <xdr:cNvSpPr/>
      </xdr:nvSpPr>
      <xdr:spPr>
        <a:xfrm>
          <a:off x="0" y="186309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1</xdr:col>
      <xdr:colOff>0</xdr:colOff>
      <xdr:row>105</xdr:row>
      <xdr:rowOff>161925</xdr:rowOff>
    </xdr:to>
    <xdr:sp>
      <xdr:nvSpPr>
        <xdr:cNvPr id="4199" name="Host Control  103"/>
        <xdr:cNvSpPr/>
      </xdr:nvSpPr>
      <xdr:spPr>
        <a:xfrm>
          <a:off x="0" y="18811875"/>
          <a:ext cx="685800" cy="3429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0</xdr:colOff>
      <xdr:row>107</xdr:row>
      <xdr:rowOff>104775</xdr:rowOff>
    </xdr:to>
    <xdr:sp>
      <xdr:nvSpPr>
        <xdr:cNvPr id="4200" name="Host Control  104"/>
        <xdr:cNvSpPr/>
      </xdr:nvSpPr>
      <xdr:spPr>
        <a:xfrm>
          <a:off x="0" y="189928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0</xdr:colOff>
      <xdr:row>107</xdr:row>
      <xdr:rowOff>152400</xdr:rowOff>
    </xdr:to>
    <xdr:sp>
      <xdr:nvSpPr>
        <xdr:cNvPr id="4201" name="Host Control  105"/>
        <xdr:cNvSpPr/>
      </xdr:nvSpPr>
      <xdr:spPr>
        <a:xfrm>
          <a:off x="0" y="19173825"/>
          <a:ext cx="685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0</xdr:colOff>
      <xdr:row>108</xdr:row>
      <xdr:rowOff>9525</xdr:rowOff>
    </xdr:to>
    <xdr:sp>
      <xdr:nvSpPr>
        <xdr:cNvPr id="4202" name="Host Control  106"/>
        <xdr:cNvSpPr/>
      </xdr:nvSpPr>
      <xdr:spPr>
        <a:xfrm>
          <a:off x="0" y="193548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0</xdr:colOff>
      <xdr:row>109</xdr:row>
      <xdr:rowOff>9525</xdr:rowOff>
    </xdr:to>
    <xdr:sp>
      <xdr:nvSpPr>
        <xdr:cNvPr id="4203" name="Host Control  107"/>
        <xdr:cNvSpPr/>
      </xdr:nvSpPr>
      <xdr:spPr>
        <a:xfrm>
          <a:off x="0" y="1953577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0</xdr:colOff>
      <xdr:row>111</xdr:row>
      <xdr:rowOff>104775</xdr:rowOff>
    </xdr:to>
    <xdr:sp>
      <xdr:nvSpPr>
        <xdr:cNvPr id="4204" name="Host Control  108"/>
        <xdr:cNvSpPr/>
      </xdr:nvSpPr>
      <xdr:spPr>
        <a:xfrm>
          <a:off x="0" y="197167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0</xdr:colOff>
      <xdr:row>111</xdr:row>
      <xdr:rowOff>9525</xdr:rowOff>
    </xdr:to>
    <xdr:sp>
      <xdr:nvSpPr>
        <xdr:cNvPr id="4205" name="Host Control  109"/>
        <xdr:cNvSpPr/>
      </xdr:nvSpPr>
      <xdr:spPr>
        <a:xfrm>
          <a:off x="0" y="1989772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0</xdr:colOff>
      <xdr:row>112</xdr:row>
      <xdr:rowOff>9525</xdr:rowOff>
    </xdr:to>
    <xdr:sp>
      <xdr:nvSpPr>
        <xdr:cNvPr id="4206" name="Host Control  110"/>
        <xdr:cNvSpPr/>
      </xdr:nvSpPr>
      <xdr:spPr>
        <a:xfrm>
          <a:off x="0" y="200787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0</xdr:colOff>
      <xdr:row>113</xdr:row>
      <xdr:rowOff>161925</xdr:rowOff>
    </xdr:to>
    <xdr:sp>
      <xdr:nvSpPr>
        <xdr:cNvPr id="4207" name="Host Control  111"/>
        <xdr:cNvSpPr/>
      </xdr:nvSpPr>
      <xdr:spPr>
        <a:xfrm>
          <a:off x="0" y="20259675"/>
          <a:ext cx="685800" cy="3429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0</xdr:colOff>
      <xdr:row>114</xdr:row>
      <xdr:rowOff>9525</xdr:rowOff>
    </xdr:to>
    <xdr:sp>
      <xdr:nvSpPr>
        <xdr:cNvPr id="4208" name="Host Control  112"/>
        <xdr:cNvSpPr/>
      </xdr:nvSpPr>
      <xdr:spPr>
        <a:xfrm>
          <a:off x="0" y="204406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0</xdr:colOff>
      <xdr:row>115</xdr:row>
      <xdr:rowOff>9525</xdr:rowOff>
    </xdr:to>
    <xdr:sp>
      <xdr:nvSpPr>
        <xdr:cNvPr id="4209" name="Host Control  113"/>
        <xdr:cNvSpPr/>
      </xdr:nvSpPr>
      <xdr:spPr>
        <a:xfrm>
          <a:off x="0" y="2062162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0</xdr:colOff>
      <xdr:row>117</xdr:row>
      <xdr:rowOff>104775</xdr:rowOff>
    </xdr:to>
    <xdr:sp>
      <xdr:nvSpPr>
        <xdr:cNvPr id="4210" name="Host Control  114"/>
        <xdr:cNvSpPr/>
      </xdr:nvSpPr>
      <xdr:spPr>
        <a:xfrm>
          <a:off x="0" y="208026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0</xdr:colOff>
      <xdr:row>117</xdr:row>
      <xdr:rowOff>152400</xdr:rowOff>
    </xdr:to>
    <xdr:sp>
      <xdr:nvSpPr>
        <xdr:cNvPr id="4211" name="Host Control  115"/>
        <xdr:cNvSpPr/>
      </xdr:nvSpPr>
      <xdr:spPr>
        <a:xfrm>
          <a:off x="0" y="20983575"/>
          <a:ext cx="685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0</xdr:colOff>
      <xdr:row>119</xdr:row>
      <xdr:rowOff>104775</xdr:rowOff>
    </xdr:to>
    <xdr:sp>
      <xdr:nvSpPr>
        <xdr:cNvPr id="4212" name="Host Control  116"/>
        <xdr:cNvSpPr/>
      </xdr:nvSpPr>
      <xdr:spPr>
        <a:xfrm>
          <a:off x="0" y="211645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0</xdr:colOff>
      <xdr:row>119</xdr:row>
      <xdr:rowOff>161925</xdr:rowOff>
    </xdr:to>
    <xdr:sp>
      <xdr:nvSpPr>
        <xdr:cNvPr id="4213" name="Host Control  117"/>
        <xdr:cNvSpPr/>
      </xdr:nvSpPr>
      <xdr:spPr>
        <a:xfrm>
          <a:off x="0" y="21345525"/>
          <a:ext cx="685800" cy="3429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0</xdr:colOff>
      <xdr:row>121</xdr:row>
      <xdr:rowOff>104775</xdr:rowOff>
    </xdr:to>
    <xdr:sp>
      <xdr:nvSpPr>
        <xdr:cNvPr id="4214" name="Host Control  118"/>
        <xdr:cNvSpPr/>
      </xdr:nvSpPr>
      <xdr:spPr>
        <a:xfrm>
          <a:off x="0" y="215265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0</xdr:colOff>
      <xdr:row>121</xdr:row>
      <xdr:rowOff>152400</xdr:rowOff>
    </xdr:to>
    <xdr:sp>
      <xdr:nvSpPr>
        <xdr:cNvPr id="4215" name="Host Control  119"/>
        <xdr:cNvSpPr/>
      </xdr:nvSpPr>
      <xdr:spPr>
        <a:xfrm>
          <a:off x="0" y="21707475"/>
          <a:ext cx="685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0</xdr:colOff>
      <xdr:row>122</xdr:row>
      <xdr:rowOff>9525</xdr:rowOff>
    </xdr:to>
    <xdr:sp>
      <xdr:nvSpPr>
        <xdr:cNvPr id="4216" name="Host Control  120"/>
        <xdr:cNvSpPr/>
      </xdr:nvSpPr>
      <xdr:spPr>
        <a:xfrm>
          <a:off x="0" y="218884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0</xdr:colOff>
      <xdr:row>124</xdr:row>
      <xdr:rowOff>104775</xdr:rowOff>
    </xdr:to>
    <xdr:sp>
      <xdr:nvSpPr>
        <xdr:cNvPr id="4217" name="Host Control  121"/>
        <xdr:cNvSpPr/>
      </xdr:nvSpPr>
      <xdr:spPr>
        <a:xfrm>
          <a:off x="0" y="220694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0</xdr:colOff>
      <xdr:row>124</xdr:row>
      <xdr:rowOff>152400</xdr:rowOff>
    </xdr:to>
    <xdr:sp>
      <xdr:nvSpPr>
        <xdr:cNvPr id="4218" name="Host Control  122"/>
        <xdr:cNvSpPr/>
      </xdr:nvSpPr>
      <xdr:spPr>
        <a:xfrm>
          <a:off x="0" y="22250400"/>
          <a:ext cx="685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0</xdr:colOff>
      <xdr:row>125</xdr:row>
      <xdr:rowOff>9525</xdr:rowOff>
    </xdr:to>
    <xdr:sp>
      <xdr:nvSpPr>
        <xdr:cNvPr id="4219" name="Host Control  123"/>
        <xdr:cNvSpPr/>
      </xdr:nvSpPr>
      <xdr:spPr>
        <a:xfrm>
          <a:off x="0" y="2243137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0</xdr:colOff>
      <xdr:row>126</xdr:row>
      <xdr:rowOff>9525</xdr:rowOff>
    </xdr:to>
    <xdr:sp>
      <xdr:nvSpPr>
        <xdr:cNvPr id="4220" name="Host Control  124"/>
        <xdr:cNvSpPr/>
      </xdr:nvSpPr>
      <xdr:spPr>
        <a:xfrm>
          <a:off x="0" y="226123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0</xdr:colOff>
      <xdr:row>127</xdr:row>
      <xdr:rowOff>9525</xdr:rowOff>
    </xdr:to>
    <xdr:sp>
      <xdr:nvSpPr>
        <xdr:cNvPr id="4221" name="Host Control  125"/>
        <xdr:cNvSpPr/>
      </xdr:nvSpPr>
      <xdr:spPr>
        <a:xfrm>
          <a:off x="0" y="2279332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0</xdr:colOff>
      <xdr:row>128</xdr:row>
      <xdr:rowOff>9525</xdr:rowOff>
    </xdr:to>
    <xdr:sp>
      <xdr:nvSpPr>
        <xdr:cNvPr id="4222" name="Host Control  126"/>
        <xdr:cNvSpPr/>
      </xdr:nvSpPr>
      <xdr:spPr>
        <a:xfrm>
          <a:off x="0" y="229743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0</xdr:colOff>
      <xdr:row>130</xdr:row>
      <xdr:rowOff>104775</xdr:rowOff>
    </xdr:to>
    <xdr:sp>
      <xdr:nvSpPr>
        <xdr:cNvPr id="4223" name="Host Control  127"/>
        <xdr:cNvSpPr/>
      </xdr:nvSpPr>
      <xdr:spPr>
        <a:xfrm>
          <a:off x="0" y="231552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0</xdr:colOff>
      <xdr:row>130</xdr:row>
      <xdr:rowOff>152400</xdr:rowOff>
    </xdr:to>
    <xdr:sp>
      <xdr:nvSpPr>
        <xdr:cNvPr id="4224" name="Host Control  128"/>
        <xdr:cNvSpPr/>
      </xdr:nvSpPr>
      <xdr:spPr>
        <a:xfrm>
          <a:off x="0" y="23336250"/>
          <a:ext cx="685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0</xdr:colOff>
      <xdr:row>132</xdr:row>
      <xdr:rowOff>104775</xdr:rowOff>
    </xdr:to>
    <xdr:sp>
      <xdr:nvSpPr>
        <xdr:cNvPr id="4225" name="Host Control  129"/>
        <xdr:cNvSpPr/>
      </xdr:nvSpPr>
      <xdr:spPr>
        <a:xfrm>
          <a:off x="0" y="235172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0</xdr:colOff>
      <xdr:row>132</xdr:row>
      <xdr:rowOff>152400</xdr:rowOff>
    </xdr:to>
    <xdr:sp>
      <xdr:nvSpPr>
        <xdr:cNvPr id="4226" name="Host Control  130"/>
        <xdr:cNvSpPr/>
      </xdr:nvSpPr>
      <xdr:spPr>
        <a:xfrm>
          <a:off x="0" y="23698200"/>
          <a:ext cx="685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0</xdr:colOff>
      <xdr:row>134</xdr:row>
      <xdr:rowOff>104775</xdr:rowOff>
    </xdr:to>
    <xdr:sp>
      <xdr:nvSpPr>
        <xdr:cNvPr id="4227" name="Host Control  131"/>
        <xdr:cNvSpPr/>
      </xdr:nvSpPr>
      <xdr:spPr>
        <a:xfrm>
          <a:off x="0" y="238791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0</xdr:colOff>
      <xdr:row>134</xdr:row>
      <xdr:rowOff>161925</xdr:rowOff>
    </xdr:to>
    <xdr:sp>
      <xdr:nvSpPr>
        <xdr:cNvPr id="4228" name="Host Control  132"/>
        <xdr:cNvSpPr/>
      </xdr:nvSpPr>
      <xdr:spPr>
        <a:xfrm>
          <a:off x="0" y="24060150"/>
          <a:ext cx="685800" cy="3429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0</xdr:colOff>
      <xdr:row>135</xdr:row>
      <xdr:rowOff>9525</xdr:rowOff>
    </xdr:to>
    <xdr:sp>
      <xdr:nvSpPr>
        <xdr:cNvPr id="4229" name="Host Control  133"/>
        <xdr:cNvSpPr/>
      </xdr:nvSpPr>
      <xdr:spPr>
        <a:xfrm>
          <a:off x="0" y="2424112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0</xdr:colOff>
      <xdr:row>136</xdr:row>
      <xdr:rowOff>9525</xdr:rowOff>
    </xdr:to>
    <xdr:sp>
      <xdr:nvSpPr>
        <xdr:cNvPr id="4230" name="Host Control  134"/>
        <xdr:cNvSpPr/>
      </xdr:nvSpPr>
      <xdr:spPr>
        <a:xfrm>
          <a:off x="0" y="244221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0</xdr:colOff>
      <xdr:row>138</xdr:row>
      <xdr:rowOff>104775</xdr:rowOff>
    </xdr:to>
    <xdr:sp>
      <xdr:nvSpPr>
        <xdr:cNvPr id="4231" name="Host Control  135"/>
        <xdr:cNvSpPr/>
      </xdr:nvSpPr>
      <xdr:spPr>
        <a:xfrm>
          <a:off x="0" y="246030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0</xdr:colOff>
      <xdr:row>138</xdr:row>
      <xdr:rowOff>19050</xdr:rowOff>
    </xdr:to>
    <xdr:sp>
      <xdr:nvSpPr>
        <xdr:cNvPr id="4232" name="Host Control  136"/>
        <xdr:cNvSpPr/>
      </xdr:nvSpPr>
      <xdr:spPr>
        <a:xfrm>
          <a:off x="0" y="24784050"/>
          <a:ext cx="685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0</xdr:colOff>
      <xdr:row>140</xdr:row>
      <xdr:rowOff>104775</xdr:rowOff>
    </xdr:to>
    <xdr:sp>
      <xdr:nvSpPr>
        <xdr:cNvPr id="4233" name="Host Control  137"/>
        <xdr:cNvSpPr/>
      </xdr:nvSpPr>
      <xdr:spPr>
        <a:xfrm>
          <a:off x="0" y="249650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0</xdr:colOff>
      <xdr:row>140</xdr:row>
      <xdr:rowOff>161925</xdr:rowOff>
    </xdr:to>
    <xdr:sp>
      <xdr:nvSpPr>
        <xdr:cNvPr id="4234" name="Host Control  138"/>
        <xdr:cNvSpPr/>
      </xdr:nvSpPr>
      <xdr:spPr>
        <a:xfrm>
          <a:off x="0" y="25146000"/>
          <a:ext cx="685800" cy="3429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0</xdr:colOff>
      <xdr:row>141</xdr:row>
      <xdr:rowOff>9525</xdr:rowOff>
    </xdr:to>
    <xdr:sp>
      <xdr:nvSpPr>
        <xdr:cNvPr id="4235" name="Host Control  139"/>
        <xdr:cNvSpPr/>
      </xdr:nvSpPr>
      <xdr:spPr>
        <a:xfrm>
          <a:off x="0" y="2532697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0</xdr:colOff>
      <xdr:row>142</xdr:row>
      <xdr:rowOff>9525</xdr:rowOff>
    </xdr:to>
    <xdr:sp>
      <xdr:nvSpPr>
        <xdr:cNvPr id="4236" name="Host Control  140"/>
        <xdr:cNvSpPr/>
      </xdr:nvSpPr>
      <xdr:spPr>
        <a:xfrm>
          <a:off x="0" y="255079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0</xdr:colOff>
      <xdr:row>143</xdr:row>
      <xdr:rowOff>9525</xdr:rowOff>
    </xdr:to>
    <xdr:sp>
      <xdr:nvSpPr>
        <xdr:cNvPr id="4237" name="Host Control  141"/>
        <xdr:cNvSpPr/>
      </xdr:nvSpPr>
      <xdr:spPr>
        <a:xfrm>
          <a:off x="0" y="2568892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0</xdr:colOff>
      <xdr:row>144</xdr:row>
      <xdr:rowOff>9525</xdr:rowOff>
    </xdr:to>
    <xdr:sp>
      <xdr:nvSpPr>
        <xdr:cNvPr id="4238" name="Host Control  142"/>
        <xdr:cNvSpPr/>
      </xdr:nvSpPr>
      <xdr:spPr>
        <a:xfrm>
          <a:off x="0" y="258699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0</xdr:colOff>
      <xdr:row>146</xdr:row>
      <xdr:rowOff>104775</xdr:rowOff>
    </xdr:to>
    <xdr:sp>
      <xdr:nvSpPr>
        <xdr:cNvPr id="4239" name="Host Control  143"/>
        <xdr:cNvSpPr/>
      </xdr:nvSpPr>
      <xdr:spPr>
        <a:xfrm>
          <a:off x="0" y="260508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0</xdr:colOff>
      <xdr:row>146</xdr:row>
      <xdr:rowOff>152400</xdr:rowOff>
    </xdr:to>
    <xdr:sp>
      <xdr:nvSpPr>
        <xdr:cNvPr id="4240" name="Host Control  144"/>
        <xdr:cNvSpPr/>
      </xdr:nvSpPr>
      <xdr:spPr>
        <a:xfrm>
          <a:off x="0" y="26231850"/>
          <a:ext cx="685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0</xdr:colOff>
      <xdr:row>147</xdr:row>
      <xdr:rowOff>9525</xdr:rowOff>
    </xdr:to>
    <xdr:sp>
      <xdr:nvSpPr>
        <xdr:cNvPr id="4241" name="Host Control  145"/>
        <xdr:cNvSpPr/>
      </xdr:nvSpPr>
      <xdr:spPr>
        <a:xfrm>
          <a:off x="0" y="2641282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0</xdr:colOff>
      <xdr:row>148</xdr:row>
      <xdr:rowOff>9525</xdr:rowOff>
    </xdr:to>
    <xdr:sp>
      <xdr:nvSpPr>
        <xdr:cNvPr id="4242" name="Host Control  146"/>
        <xdr:cNvSpPr/>
      </xdr:nvSpPr>
      <xdr:spPr>
        <a:xfrm>
          <a:off x="0" y="265938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0</xdr:colOff>
      <xdr:row>149</xdr:row>
      <xdr:rowOff>9525</xdr:rowOff>
    </xdr:to>
    <xdr:sp>
      <xdr:nvSpPr>
        <xdr:cNvPr id="4243" name="Host Control  147"/>
        <xdr:cNvSpPr/>
      </xdr:nvSpPr>
      <xdr:spPr>
        <a:xfrm>
          <a:off x="0" y="2677477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0</xdr:colOff>
      <xdr:row>150</xdr:row>
      <xdr:rowOff>152400</xdr:rowOff>
    </xdr:to>
    <xdr:sp>
      <xdr:nvSpPr>
        <xdr:cNvPr id="4244" name="Host Control  148"/>
        <xdr:cNvSpPr/>
      </xdr:nvSpPr>
      <xdr:spPr>
        <a:xfrm>
          <a:off x="0" y="26955750"/>
          <a:ext cx="685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0</xdr:colOff>
      <xdr:row>151</xdr:row>
      <xdr:rowOff>133350</xdr:rowOff>
    </xdr:to>
    <xdr:sp>
      <xdr:nvSpPr>
        <xdr:cNvPr id="4245" name="Host Control  149"/>
        <xdr:cNvSpPr/>
      </xdr:nvSpPr>
      <xdr:spPr>
        <a:xfrm>
          <a:off x="0" y="27136725"/>
          <a:ext cx="685800" cy="3143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0</xdr:colOff>
      <xdr:row>153</xdr:row>
      <xdr:rowOff>104775</xdr:rowOff>
    </xdr:to>
    <xdr:sp>
      <xdr:nvSpPr>
        <xdr:cNvPr id="4246" name="Host Control  150"/>
        <xdr:cNvSpPr/>
      </xdr:nvSpPr>
      <xdr:spPr>
        <a:xfrm>
          <a:off x="0" y="273177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0</xdr:colOff>
      <xdr:row>153</xdr:row>
      <xdr:rowOff>152400</xdr:rowOff>
    </xdr:to>
    <xdr:sp>
      <xdr:nvSpPr>
        <xdr:cNvPr id="4247" name="Host Control  151"/>
        <xdr:cNvSpPr/>
      </xdr:nvSpPr>
      <xdr:spPr>
        <a:xfrm>
          <a:off x="0" y="27498675"/>
          <a:ext cx="685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0</xdr:colOff>
      <xdr:row>154</xdr:row>
      <xdr:rowOff>9525</xdr:rowOff>
    </xdr:to>
    <xdr:sp>
      <xdr:nvSpPr>
        <xdr:cNvPr id="4248" name="Host Control  152"/>
        <xdr:cNvSpPr/>
      </xdr:nvSpPr>
      <xdr:spPr>
        <a:xfrm>
          <a:off x="0" y="276796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0</xdr:colOff>
      <xdr:row>156</xdr:row>
      <xdr:rowOff>104775</xdr:rowOff>
    </xdr:to>
    <xdr:sp>
      <xdr:nvSpPr>
        <xdr:cNvPr id="4249" name="Host Control  153"/>
        <xdr:cNvSpPr/>
      </xdr:nvSpPr>
      <xdr:spPr>
        <a:xfrm>
          <a:off x="0" y="278606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0</xdr:colOff>
      <xdr:row>156</xdr:row>
      <xdr:rowOff>152400</xdr:rowOff>
    </xdr:to>
    <xdr:sp>
      <xdr:nvSpPr>
        <xdr:cNvPr id="4250" name="Host Control  154"/>
        <xdr:cNvSpPr/>
      </xdr:nvSpPr>
      <xdr:spPr>
        <a:xfrm>
          <a:off x="0" y="28041600"/>
          <a:ext cx="685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0</xdr:colOff>
      <xdr:row>157</xdr:row>
      <xdr:rowOff>9525</xdr:rowOff>
    </xdr:to>
    <xdr:sp>
      <xdr:nvSpPr>
        <xdr:cNvPr id="4251" name="Host Control  155"/>
        <xdr:cNvSpPr/>
      </xdr:nvSpPr>
      <xdr:spPr>
        <a:xfrm>
          <a:off x="0" y="2822257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0</xdr:colOff>
      <xdr:row>158</xdr:row>
      <xdr:rowOff>9525</xdr:rowOff>
    </xdr:to>
    <xdr:sp>
      <xdr:nvSpPr>
        <xdr:cNvPr id="4252" name="Host Control  156"/>
        <xdr:cNvSpPr/>
      </xdr:nvSpPr>
      <xdr:spPr>
        <a:xfrm>
          <a:off x="0" y="284035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0</xdr:colOff>
      <xdr:row>160</xdr:row>
      <xdr:rowOff>104775</xdr:rowOff>
    </xdr:to>
    <xdr:sp>
      <xdr:nvSpPr>
        <xdr:cNvPr id="4253" name="Host Control  157"/>
        <xdr:cNvSpPr/>
      </xdr:nvSpPr>
      <xdr:spPr>
        <a:xfrm>
          <a:off x="0" y="285845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0</xdr:colOff>
      <xdr:row>160</xdr:row>
      <xdr:rowOff>152400</xdr:rowOff>
    </xdr:to>
    <xdr:sp>
      <xdr:nvSpPr>
        <xdr:cNvPr id="4254" name="Host Control  158"/>
        <xdr:cNvSpPr/>
      </xdr:nvSpPr>
      <xdr:spPr>
        <a:xfrm>
          <a:off x="0" y="28765500"/>
          <a:ext cx="685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0</xdr:colOff>
      <xdr:row>161</xdr:row>
      <xdr:rowOff>9525</xdr:rowOff>
    </xdr:to>
    <xdr:sp>
      <xdr:nvSpPr>
        <xdr:cNvPr id="4255" name="Host Control  159"/>
        <xdr:cNvSpPr/>
      </xdr:nvSpPr>
      <xdr:spPr>
        <a:xfrm>
          <a:off x="0" y="2894647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0</xdr:colOff>
      <xdr:row>163</xdr:row>
      <xdr:rowOff>104775</xdr:rowOff>
    </xdr:to>
    <xdr:sp>
      <xdr:nvSpPr>
        <xdr:cNvPr id="4256" name="Host Control  160"/>
        <xdr:cNvSpPr/>
      </xdr:nvSpPr>
      <xdr:spPr>
        <a:xfrm>
          <a:off x="0" y="291274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0</xdr:colOff>
      <xdr:row>163</xdr:row>
      <xdr:rowOff>9525</xdr:rowOff>
    </xdr:to>
    <xdr:sp>
      <xdr:nvSpPr>
        <xdr:cNvPr id="4257" name="Host Control  161"/>
        <xdr:cNvSpPr/>
      </xdr:nvSpPr>
      <xdr:spPr>
        <a:xfrm>
          <a:off x="0" y="2930842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0</xdr:colOff>
      <xdr:row>164</xdr:row>
      <xdr:rowOff>9525</xdr:rowOff>
    </xdr:to>
    <xdr:sp>
      <xdr:nvSpPr>
        <xdr:cNvPr id="4258" name="Host Control  162"/>
        <xdr:cNvSpPr/>
      </xdr:nvSpPr>
      <xdr:spPr>
        <a:xfrm>
          <a:off x="0" y="294894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0</xdr:colOff>
      <xdr:row>165</xdr:row>
      <xdr:rowOff>9525</xdr:rowOff>
    </xdr:to>
    <xdr:sp>
      <xdr:nvSpPr>
        <xdr:cNvPr id="4259" name="Host Control  163"/>
        <xdr:cNvSpPr/>
      </xdr:nvSpPr>
      <xdr:spPr>
        <a:xfrm>
          <a:off x="0" y="2967037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0</xdr:colOff>
      <xdr:row>166</xdr:row>
      <xdr:rowOff>9525</xdr:rowOff>
    </xdr:to>
    <xdr:sp>
      <xdr:nvSpPr>
        <xdr:cNvPr id="4260" name="Host Control  164"/>
        <xdr:cNvSpPr/>
      </xdr:nvSpPr>
      <xdr:spPr>
        <a:xfrm>
          <a:off x="0" y="298513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0</xdr:colOff>
      <xdr:row>167</xdr:row>
      <xdr:rowOff>9525</xdr:rowOff>
    </xdr:to>
    <xdr:sp>
      <xdr:nvSpPr>
        <xdr:cNvPr id="4261" name="Host Control  165"/>
        <xdr:cNvSpPr/>
      </xdr:nvSpPr>
      <xdr:spPr>
        <a:xfrm>
          <a:off x="0" y="3003232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0</xdr:colOff>
      <xdr:row>168</xdr:row>
      <xdr:rowOff>152400</xdr:rowOff>
    </xdr:to>
    <xdr:sp>
      <xdr:nvSpPr>
        <xdr:cNvPr id="4262" name="Host Control  166"/>
        <xdr:cNvSpPr/>
      </xdr:nvSpPr>
      <xdr:spPr>
        <a:xfrm>
          <a:off x="0" y="30213300"/>
          <a:ext cx="685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0</xdr:colOff>
      <xdr:row>169</xdr:row>
      <xdr:rowOff>9525</xdr:rowOff>
    </xdr:to>
    <xdr:sp>
      <xdr:nvSpPr>
        <xdr:cNvPr id="4263" name="Host Control  167"/>
        <xdr:cNvSpPr/>
      </xdr:nvSpPr>
      <xdr:spPr>
        <a:xfrm>
          <a:off x="0" y="3039427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0</xdr:colOff>
      <xdr:row>171</xdr:row>
      <xdr:rowOff>104775</xdr:rowOff>
    </xdr:to>
    <xdr:sp>
      <xdr:nvSpPr>
        <xdr:cNvPr id="4264" name="Host Control  168"/>
        <xdr:cNvSpPr/>
      </xdr:nvSpPr>
      <xdr:spPr>
        <a:xfrm>
          <a:off x="0" y="305752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0</xdr:colOff>
      <xdr:row>171</xdr:row>
      <xdr:rowOff>152400</xdr:rowOff>
    </xdr:to>
    <xdr:sp>
      <xdr:nvSpPr>
        <xdr:cNvPr id="4265" name="Host Control  169"/>
        <xdr:cNvSpPr/>
      </xdr:nvSpPr>
      <xdr:spPr>
        <a:xfrm>
          <a:off x="0" y="30756225"/>
          <a:ext cx="685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0</xdr:colOff>
      <xdr:row>172</xdr:row>
      <xdr:rowOff>9525</xdr:rowOff>
    </xdr:to>
    <xdr:sp>
      <xdr:nvSpPr>
        <xdr:cNvPr id="4266" name="Host Control  170"/>
        <xdr:cNvSpPr/>
      </xdr:nvSpPr>
      <xdr:spPr>
        <a:xfrm>
          <a:off x="0" y="309372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0</xdr:colOff>
      <xdr:row>174</xdr:row>
      <xdr:rowOff>104775</xdr:rowOff>
    </xdr:to>
    <xdr:sp>
      <xdr:nvSpPr>
        <xdr:cNvPr id="4267" name="Host Control  171"/>
        <xdr:cNvSpPr/>
      </xdr:nvSpPr>
      <xdr:spPr>
        <a:xfrm>
          <a:off x="0" y="311181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0</xdr:colOff>
      <xdr:row>174</xdr:row>
      <xdr:rowOff>9525</xdr:rowOff>
    </xdr:to>
    <xdr:sp>
      <xdr:nvSpPr>
        <xdr:cNvPr id="4268" name="Host Control  172"/>
        <xdr:cNvSpPr/>
      </xdr:nvSpPr>
      <xdr:spPr>
        <a:xfrm>
          <a:off x="0" y="312991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0</xdr:colOff>
      <xdr:row>175</xdr:row>
      <xdr:rowOff>161925</xdr:rowOff>
    </xdr:to>
    <xdr:sp>
      <xdr:nvSpPr>
        <xdr:cNvPr id="4269" name="Host Control  173"/>
        <xdr:cNvSpPr/>
      </xdr:nvSpPr>
      <xdr:spPr>
        <a:xfrm>
          <a:off x="0" y="31480125"/>
          <a:ext cx="685800" cy="3429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0</xdr:colOff>
      <xdr:row>177</xdr:row>
      <xdr:rowOff>104775</xdr:rowOff>
    </xdr:to>
    <xdr:sp>
      <xdr:nvSpPr>
        <xdr:cNvPr id="4270" name="Host Control  174"/>
        <xdr:cNvSpPr/>
      </xdr:nvSpPr>
      <xdr:spPr>
        <a:xfrm>
          <a:off x="0" y="316611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0</xdr:colOff>
      <xdr:row>177</xdr:row>
      <xdr:rowOff>152400</xdr:rowOff>
    </xdr:to>
    <xdr:sp>
      <xdr:nvSpPr>
        <xdr:cNvPr id="4271" name="Host Control  175"/>
        <xdr:cNvSpPr/>
      </xdr:nvSpPr>
      <xdr:spPr>
        <a:xfrm>
          <a:off x="0" y="31842075"/>
          <a:ext cx="685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0</xdr:colOff>
      <xdr:row>178</xdr:row>
      <xdr:rowOff>9525</xdr:rowOff>
    </xdr:to>
    <xdr:sp>
      <xdr:nvSpPr>
        <xdr:cNvPr id="4272" name="Host Control  176"/>
        <xdr:cNvSpPr/>
      </xdr:nvSpPr>
      <xdr:spPr>
        <a:xfrm>
          <a:off x="0" y="3202305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0</xdr:colOff>
      <xdr:row>180</xdr:row>
      <xdr:rowOff>104775</xdr:rowOff>
    </xdr:to>
    <xdr:sp>
      <xdr:nvSpPr>
        <xdr:cNvPr id="4273" name="Host Control  177"/>
        <xdr:cNvSpPr/>
      </xdr:nvSpPr>
      <xdr:spPr>
        <a:xfrm>
          <a:off x="0" y="322040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0</xdr:colOff>
      <xdr:row>180</xdr:row>
      <xdr:rowOff>9525</xdr:rowOff>
    </xdr:to>
    <xdr:sp>
      <xdr:nvSpPr>
        <xdr:cNvPr id="4274" name="Host Control  178"/>
        <xdr:cNvSpPr/>
      </xdr:nvSpPr>
      <xdr:spPr>
        <a:xfrm>
          <a:off x="0" y="323850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0</xdr:colOff>
      <xdr:row>181</xdr:row>
      <xdr:rowOff>9525</xdr:rowOff>
    </xdr:to>
    <xdr:sp>
      <xdr:nvSpPr>
        <xdr:cNvPr id="4275" name="Host Control  179"/>
        <xdr:cNvSpPr/>
      </xdr:nvSpPr>
      <xdr:spPr>
        <a:xfrm>
          <a:off x="0" y="32565975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0</xdr:colOff>
      <xdr:row>182</xdr:row>
      <xdr:rowOff>152400</xdr:rowOff>
    </xdr:to>
    <xdr:sp>
      <xdr:nvSpPr>
        <xdr:cNvPr id="4276" name="Host Control  180"/>
        <xdr:cNvSpPr/>
      </xdr:nvSpPr>
      <xdr:spPr>
        <a:xfrm>
          <a:off x="0" y="32746950"/>
          <a:ext cx="685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0</xdr:colOff>
      <xdr:row>184</xdr:row>
      <xdr:rowOff>104775</xdr:rowOff>
    </xdr:to>
    <xdr:sp>
      <xdr:nvSpPr>
        <xdr:cNvPr id="4277" name="Host Control  181"/>
        <xdr:cNvSpPr/>
      </xdr:nvSpPr>
      <xdr:spPr>
        <a:xfrm>
          <a:off x="0" y="329279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0</xdr:colOff>
      <xdr:row>184</xdr:row>
      <xdr:rowOff>9525</xdr:rowOff>
    </xdr:to>
    <xdr:sp>
      <xdr:nvSpPr>
        <xdr:cNvPr id="4278" name="Host Control  182"/>
        <xdr:cNvSpPr/>
      </xdr:nvSpPr>
      <xdr:spPr>
        <a:xfrm>
          <a:off x="0" y="3310890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0</xdr:colOff>
      <xdr:row>185</xdr:row>
      <xdr:rowOff>152400</xdr:rowOff>
    </xdr:to>
    <xdr:sp>
      <xdr:nvSpPr>
        <xdr:cNvPr id="4279" name="Host Control  183"/>
        <xdr:cNvSpPr/>
      </xdr:nvSpPr>
      <xdr:spPr>
        <a:xfrm>
          <a:off x="0" y="33289875"/>
          <a:ext cx="685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0</xdr:colOff>
      <xdr:row>187</xdr:row>
      <xdr:rowOff>104775</xdr:rowOff>
    </xdr:to>
    <xdr:sp>
      <xdr:nvSpPr>
        <xdr:cNvPr id="4280" name="Host Control  184"/>
        <xdr:cNvSpPr/>
      </xdr:nvSpPr>
      <xdr:spPr>
        <a:xfrm>
          <a:off x="0" y="334708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0</xdr:colOff>
      <xdr:row>187</xdr:row>
      <xdr:rowOff>152400</xdr:rowOff>
    </xdr:to>
    <xdr:sp>
      <xdr:nvSpPr>
        <xdr:cNvPr id="4281" name="Host Control  185"/>
        <xdr:cNvSpPr/>
      </xdr:nvSpPr>
      <xdr:spPr>
        <a:xfrm>
          <a:off x="0" y="33651825"/>
          <a:ext cx="685800" cy="3333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0</xdr:colOff>
      <xdr:row>5</xdr:row>
      <xdr:rowOff>76200</xdr:rowOff>
    </xdr:to>
    <xdr:sp>
      <xdr:nvSpPr>
        <xdr:cNvPr id="3073" name="Host Control  1"/>
        <xdr:cNvSpPr/>
      </xdr:nvSpPr>
      <xdr:spPr>
        <a:xfrm>
          <a:off x="0" y="35242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1</xdr:col>
      <xdr:colOff>0</xdr:colOff>
      <xdr:row>6</xdr:row>
      <xdr:rowOff>76200</xdr:rowOff>
    </xdr:to>
    <xdr:sp>
      <xdr:nvSpPr>
        <xdr:cNvPr id="3074" name="Host Control  2"/>
        <xdr:cNvSpPr/>
      </xdr:nvSpPr>
      <xdr:spPr>
        <a:xfrm>
          <a:off x="0" y="53340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0</xdr:colOff>
      <xdr:row>7</xdr:row>
      <xdr:rowOff>76200</xdr:rowOff>
    </xdr:to>
    <xdr:sp>
      <xdr:nvSpPr>
        <xdr:cNvPr id="3075" name="Host Control  3"/>
        <xdr:cNvSpPr/>
      </xdr:nvSpPr>
      <xdr:spPr>
        <a:xfrm>
          <a:off x="0" y="71437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0</xdr:colOff>
      <xdr:row>8</xdr:row>
      <xdr:rowOff>76200</xdr:rowOff>
    </xdr:to>
    <xdr:sp>
      <xdr:nvSpPr>
        <xdr:cNvPr id="3076" name="Host Control  4"/>
        <xdr:cNvSpPr/>
      </xdr:nvSpPr>
      <xdr:spPr>
        <a:xfrm>
          <a:off x="0" y="89535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0</xdr:colOff>
      <xdr:row>9</xdr:row>
      <xdr:rowOff>76200</xdr:rowOff>
    </xdr:to>
    <xdr:sp>
      <xdr:nvSpPr>
        <xdr:cNvPr id="3077" name="Host Control  5"/>
        <xdr:cNvSpPr/>
      </xdr:nvSpPr>
      <xdr:spPr>
        <a:xfrm>
          <a:off x="0" y="107632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0</xdr:colOff>
      <xdr:row>9</xdr:row>
      <xdr:rowOff>104775</xdr:rowOff>
    </xdr:to>
    <xdr:sp>
      <xdr:nvSpPr>
        <xdr:cNvPr id="3078" name="Host Control  6"/>
        <xdr:cNvSpPr/>
      </xdr:nvSpPr>
      <xdr:spPr>
        <a:xfrm>
          <a:off x="0" y="12573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1</xdr:col>
      <xdr:colOff>0</xdr:colOff>
      <xdr:row>10</xdr:row>
      <xdr:rowOff>104775</xdr:rowOff>
    </xdr:to>
    <xdr:sp>
      <xdr:nvSpPr>
        <xdr:cNvPr id="3079" name="Host Control  7"/>
        <xdr:cNvSpPr/>
      </xdr:nvSpPr>
      <xdr:spPr>
        <a:xfrm>
          <a:off x="0" y="14382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1</xdr:col>
      <xdr:colOff>0</xdr:colOff>
      <xdr:row>11</xdr:row>
      <xdr:rowOff>104775</xdr:rowOff>
    </xdr:to>
    <xdr:sp>
      <xdr:nvSpPr>
        <xdr:cNvPr id="3080" name="Host Control  8"/>
        <xdr:cNvSpPr/>
      </xdr:nvSpPr>
      <xdr:spPr>
        <a:xfrm>
          <a:off x="0" y="16192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0</xdr:colOff>
      <xdr:row>12</xdr:row>
      <xdr:rowOff>104775</xdr:rowOff>
    </xdr:to>
    <xdr:sp>
      <xdr:nvSpPr>
        <xdr:cNvPr id="3081" name="Host Control  9"/>
        <xdr:cNvSpPr/>
      </xdr:nvSpPr>
      <xdr:spPr>
        <a:xfrm>
          <a:off x="0" y="18002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1</xdr:col>
      <xdr:colOff>0</xdr:colOff>
      <xdr:row>14</xdr:row>
      <xdr:rowOff>85725</xdr:rowOff>
    </xdr:to>
    <xdr:sp>
      <xdr:nvSpPr>
        <xdr:cNvPr id="3082" name="Host Control  10"/>
        <xdr:cNvSpPr/>
      </xdr:nvSpPr>
      <xdr:spPr>
        <a:xfrm>
          <a:off x="0" y="1981200"/>
          <a:ext cx="685800" cy="6286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1</xdr:col>
      <xdr:colOff>0</xdr:colOff>
      <xdr:row>15</xdr:row>
      <xdr:rowOff>76200</xdr:rowOff>
    </xdr:to>
    <xdr:sp>
      <xdr:nvSpPr>
        <xdr:cNvPr id="3083" name="Host Control  11"/>
        <xdr:cNvSpPr/>
      </xdr:nvSpPr>
      <xdr:spPr>
        <a:xfrm>
          <a:off x="0" y="216217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1</xdr:col>
      <xdr:colOff>0</xdr:colOff>
      <xdr:row>15</xdr:row>
      <xdr:rowOff>104775</xdr:rowOff>
    </xdr:to>
    <xdr:sp>
      <xdr:nvSpPr>
        <xdr:cNvPr id="3084" name="Host Control  12"/>
        <xdr:cNvSpPr/>
      </xdr:nvSpPr>
      <xdr:spPr>
        <a:xfrm>
          <a:off x="0" y="23431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1</xdr:col>
      <xdr:colOff>0</xdr:colOff>
      <xdr:row>16</xdr:row>
      <xdr:rowOff>104775</xdr:rowOff>
    </xdr:to>
    <xdr:sp>
      <xdr:nvSpPr>
        <xdr:cNvPr id="3085" name="Host Control  13"/>
        <xdr:cNvSpPr/>
      </xdr:nvSpPr>
      <xdr:spPr>
        <a:xfrm>
          <a:off x="0" y="25241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1</xdr:col>
      <xdr:colOff>0</xdr:colOff>
      <xdr:row>17</xdr:row>
      <xdr:rowOff>104775</xdr:rowOff>
    </xdr:to>
    <xdr:sp>
      <xdr:nvSpPr>
        <xdr:cNvPr id="3086" name="Host Control  14"/>
        <xdr:cNvSpPr/>
      </xdr:nvSpPr>
      <xdr:spPr>
        <a:xfrm>
          <a:off x="0" y="27051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1</xdr:col>
      <xdr:colOff>0</xdr:colOff>
      <xdr:row>18</xdr:row>
      <xdr:rowOff>104775</xdr:rowOff>
    </xdr:to>
    <xdr:sp>
      <xdr:nvSpPr>
        <xdr:cNvPr id="3087" name="Host Control  15"/>
        <xdr:cNvSpPr/>
      </xdr:nvSpPr>
      <xdr:spPr>
        <a:xfrm>
          <a:off x="0" y="28860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1</xdr:col>
      <xdr:colOff>0</xdr:colOff>
      <xdr:row>19</xdr:row>
      <xdr:rowOff>104775</xdr:rowOff>
    </xdr:to>
    <xdr:sp>
      <xdr:nvSpPr>
        <xdr:cNvPr id="3088" name="Host Control  16"/>
        <xdr:cNvSpPr/>
      </xdr:nvSpPr>
      <xdr:spPr>
        <a:xfrm>
          <a:off x="0" y="30670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1</xdr:col>
      <xdr:colOff>0</xdr:colOff>
      <xdr:row>20</xdr:row>
      <xdr:rowOff>104775</xdr:rowOff>
    </xdr:to>
    <xdr:sp>
      <xdr:nvSpPr>
        <xdr:cNvPr id="3089" name="Host Control  17"/>
        <xdr:cNvSpPr/>
      </xdr:nvSpPr>
      <xdr:spPr>
        <a:xfrm>
          <a:off x="0" y="32480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1</xdr:col>
      <xdr:colOff>0</xdr:colOff>
      <xdr:row>21</xdr:row>
      <xdr:rowOff>104775</xdr:rowOff>
    </xdr:to>
    <xdr:sp>
      <xdr:nvSpPr>
        <xdr:cNvPr id="3090" name="Host Control  18"/>
        <xdr:cNvSpPr/>
      </xdr:nvSpPr>
      <xdr:spPr>
        <a:xfrm>
          <a:off x="0" y="34290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1</xdr:col>
      <xdr:colOff>0</xdr:colOff>
      <xdr:row>22</xdr:row>
      <xdr:rowOff>104775</xdr:rowOff>
    </xdr:to>
    <xdr:sp>
      <xdr:nvSpPr>
        <xdr:cNvPr id="3091" name="Host Control  19"/>
        <xdr:cNvSpPr/>
      </xdr:nvSpPr>
      <xdr:spPr>
        <a:xfrm>
          <a:off x="0" y="36099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1</xdr:col>
      <xdr:colOff>0</xdr:colOff>
      <xdr:row>24</xdr:row>
      <xdr:rowOff>76200</xdr:rowOff>
    </xdr:to>
    <xdr:sp>
      <xdr:nvSpPr>
        <xdr:cNvPr id="3092" name="Host Control  20"/>
        <xdr:cNvSpPr/>
      </xdr:nvSpPr>
      <xdr:spPr>
        <a:xfrm>
          <a:off x="0" y="379095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1</xdr:col>
      <xdr:colOff>0</xdr:colOff>
      <xdr:row>24</xdr:row>
      <xdr:rowOff>104775</xdr:rowOff>
    </xdr:to>
    <xdr:sp>
      <xdr:nvSpPr>
        <xdr:cNvPr id="3093" name="Host Control  21"/>
        <xdr:cNvSpPr/>
      </xdr:nvSpPr>
      <xdr:spPr>
        <a:xfrm>
          <a:off x="0" y="39719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1</xdr:col>
      <xdr:colOff>0</xdr:colOff>
      <xdr:row>26</xdr:row>
      <xdr:rowOff>76200</xdr:rowOff>
    </xdr:to>
    <xdr:sp>
      <xdr:nvSpPr>
        <xdr:cNvPr id="3094" name="Host Control  22"/>
        <xdr:cNvSpPr/>
      </xdr:nvSpPr>
      <xdr:spPr>
        <a:xfrm>
          <a:off x="0" y="415290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1</xdr:col>
      <xdr:colOff>0</xdr:colOff>
      <xdr:row>26</xdr:row>
      <xdr:rowOff>104775</xdr:rowOff>
    </xdr:to>
    <xdr:sp>
      <xdr:nvSpPr>
        <xdr:cNvPr id="3095" name="Host Control  23"/>
        <xdr:cNvSpPr/>
      </xdr:nvSpPr>
      <xdr:spPr>
        <a:xfrm>
          <a:off x="0" y="43338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1</xdr:col>
      <xdr:colOff>0</xdr:colOff>
      <xdr:row>27</xdr:row>
      <xdr:rowOff>104775</xdr:rowOff>
    </xdr:to>
    <xdr:sp>
      <xdr:nvSpPr>
        <xdr:cNvPr id="3096" name="Host Control  24"/>
        <xdr:cNvSpPr/>
      </xdr:nvSpPr>
      <xdr:spPr>
        <a:xfrm>
          <a:off x="0" y="45148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1</xdr:col>
      <xdr:colOff>0</xdr:colOff>
      <xdr:row>28</xdr:row>
      <xdr:rowOff>104775</xdr:rowOff>
    </xdr:to>
    <xdr:sp>
      <xdr:nvSpPr>
        <xdr:cNvPr id="3097" name="Host Control  25"/>
        <xdr:cNvSpPr/>
      </xdr:nvSpPr>
      <xdr:spPr>
        <a:xfrm>
          <a:off x="0" y="46958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1</xdr:col>
      <xdr:colOff>0</xdr:colOff>
      <xdr:row>29</xdr:row>
      <xdr:rowOff>104775</xdr:rowOff>
    </xdr:to>
    <xdr:sp>
      <xdr:nvSpPr>
        <xdr:cNvPr id="3098" name="Host Control  26"/>
        <xdr:cNvSpPr/>
      </xdr:nvSpPr>
      <xdr:spPr>
        <a:xfrm>
          <a:off x="0" y="48768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1</xdr:col>
      <xdr:colOff>0</xdr:colOff>
      <xdr:row>31</xdr:row>
      <xdr:rowOff>76200</xdr:rowOff>
    </xdr:to>
    <xdr:sp>
      <xdr:nvSpPr>
        <xdr:cNvPr id="3099" name="Host Control  27"/>
        <xdr:cNvSpPr/>
      </xdr:nvSpPr>
      <xdr:spPr>
        <a:xfrm>
          <a:off x="0" y="505777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1</xdr:col>
      <xdr:colOff>0</xdr:colOff>
      <xdr:row>32</xdr:row>
      <xdr:rowOff>76200</xdr:rowOff>
    </xdr:to>
    <xdr:sp>
      <xdr:nvSpPr>
        <xdr:cNvPr id="3100" name="Host Control  28"/>
        <xdr:cNvSpPr/>
      </xdr:nvSpPr>
      <xdr:spPr>
        <a:xfrm>
          <a:off x="0" y="523875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1</xdr:col>
      <xdr:colOff>0</xdr:colOff>
      <xdr:row>33</xdr:row>
      <xdr:rowOff>76200</xdr:rowOff>
    </xdr:to>
    <xdr:sp>
      <xdr:nvSpPr>
        <xdr:cNvPr id="3101" name="Host Control  29"/>
        <xdr:cNvSpPr/>
      </xdr:nvSpPr>
      <xdr:spPr>
        <a:xfrm>
          <a:off x="0" y="541972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1</xdr:col>
      <xdr:colOff>0</xdr:colOff>
      <xdr:row>34</xdr:row>
      <xdr:rowOff>76200</xdr:rowOff>
    </xdr:to>
    <xdr:sp>
      <xdr:nvSpPr>
        <xdr:cNvPr id="3102" name="Host Control  30"/>
        <xdr:cNvSpPr/>
      </xdr:nvSpPr>
      <xdr:spPr>
        <a:xfrm>
          <a:off x="0" y="560070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1</xdr:col>
      <xdr:colOff>0</xdr:colOff>
      <xdr:row>34</xdr:row>
      <xdr:rowOff>104775</xdr:rowOff>
    </xdr:to>
    <xdr:sp>
      <xdr:nvSpPr>
        <xdr:cNvPr id="3103" name="Host Control  31"/>
        <xdr:cNvSpPr/>
      </xdr:nvSpPr>
      <xdr:spPr>
        <a:xfrm>
          <a:off x="0" y="57816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1</xdr:col>
      <xdr:colOff>0</xdr:colOff>
      <xdr:row>34</xdr:row>
      <xdr:rowOff>133350</xdr:rowOff>
    </xdr:to>
    <xdr:sp>
      <xdr:nvSpPr>
        <xdr:cNvPr id="3104" name="Host Control  32"/>
        <xdr:cNvSpPr/>
      </xdr:nvSpPr>
      <xdr:spPr>
        <a:xfrm>
          <a:off x="0" y="5962650"/>
          <a:ext cx="685800" cy="3143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1</xdr:col>
      <xdr:colOff>0</xdr:colOff>
      <xdr:row>36</xdr:row>
      <xdr:rowOff>104775</xdr:rowOff>
    </xdr:to>
    <xdr:sp>
      <xdr:nvSpPr>
        <xdr:cNvPr id="3105" name="Host Control  33"/>
        <xdr:cNvSpPr/>
      </xdr:nvSpPr>
      <xdr:spPr>
        <a:xfrm>
          <a:off x="0" y="61436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1</xdr:col>
      <xdr:colOff>0</xdr:colOff>
      <xdr:row>38</xdr:row>
      <xdr:rowOff>76200</xdr:rowOff>
    </xdr:to>
    <xdr:sp>
      <xdr:nvSpPr>
        <xdr:cNvPr id="3106" name="Host Control  34"/>
        <xdr:cNvSpPr/>
      </xdr:nvSpPr>
      <xdr:spPr>
        <a:xfrm>
          <a:off x="0" y="632460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1</xdr:col>
      <xdr:colOff>0</xdr:colOff>
      <xdr:row>38</xdr:row>
      <xdr:rowOff>104775</xdr:rowOff>
    </xdr:to>
    <xdr:sp>
      <xdr:nvSpPr>
        <xdr:cNvPr id="3107" name="Host Control  35"/>
        <xdr:cNvSpPr/>
      </xdr:nvSpPr>
      <xdr:spPr>
        <a:xfrm>
          <a:off x="0" y="65055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1</xdr:col>
      <xdr:colOff>0</xdr:colOff>
      <xdr:row>40</xdr:row>
      <xdr:rowOff>76200</xdr:rowOff>
    </xdr:to>
    <xdr:sp>
      <xdr:nvSpPr>
        <xdr:cNvPr id="3108" name="Host Control  36"/>
        <xdr:cNvSpPr/>
      </xdr:nvSpPr>
      <xdr:spPr>
        <a:xfrm>
          <a:off x="0" y="668655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1</xdr:col>
      <xdr:colOff>0</xdr:colOff>
      <xdr:row>40</xdr:row>
      <xdr:rowOff>104775</xdr:rowOff>
    </xdr:to>
    <xdr:sp>
      <xdr:nvSpPr>
        <xdr:cNvPr id="3109" name="Host Control  37"/>
        <xdr:cNvSpPr/>
      </xdr:nvSpPr>
      <xdr:spPr>
        <a:xfrm>
          <a:off x="0" y="68675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1</xdr:col>
      <xdr:colOff>0</xdr:colOff>
      <xdr:row>41</xdr:row>
      <xdr:rowOff>104775</xdr:rowOff>
    </xdr:to>
    <xdr:sp>
      <xdr:nvSpPr>
        <xdr:cNvPr id="3110" name="Host Control  38"/>
        <xdr:cNvSpPr/>
      </xdr:nvSpPr>
      <xdr:spPr>
        <a:xfrm>
          <a:off x="0" y="70485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1</xdr:col>
      <xdr:colOff>0</xdr:colOff>
      <xdr:row>43</xdr:row>
      <xdr:rowOff>76200</xdr:rowOff>
    </xdr:to>
    <xdr:sp>
      <xdr:nvSpPr>
        <xdr:cNvPr id="3111" name="Host Control  39"/>
        <xdr:cNvSpPr/>
      </xdr:nvSpPr>
      <xdr:spPr>
        <a:xfrm>
          <a:off x="0" y="722947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1</xdr:col>
      <xdr:colOff>0</xdr:colOff>
      <xdr:row>43</xdr:row>
      <xdr:rowOff>104775</xdr:rowOff>
    </xdr:to>
    <xdr:sp>
      <xdr:nvSpPr>
        <xdr:cNvPr id="3112" name="Host Control  40"/>
        <xdr:cNvSpPr/>
      </xdr:nvSpPr>
      <xdr:spPr>
        <a:xfrm>
          <a:off x="0" y="74104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1</xdr:col>
      <xdr:colOff>0</xdr:colOff>
      <xdr:row>44</xdr:row>
      <xdr:rowOff>104775</xdr:rowOff>
    </xdr:to>
    <xdr:sp>
      <xdr:nvSpPr>
        <xdr:cNvPr id="3113" name="Host Control  41"/>
        <xdr:cNvSpPr/>
      </xdr:nvSpPr>
      <xdr:spPr>
        <a:xfrm>
          <a:off x="0" y="75914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1</xdr:col>
      <xdr:colOff>0</xdr:colOff>
      <xdr:row>46</xdr:row>
      <xdr:rowOff>76200</xdr:rowOff>
    </xdr:to>
    <xdr:sp>
      <xdr:nvSpPr>
        <xdr:cNvPr id="3114" name="Host Control  42"/>
        <xdr:cNvSpPr/>
      </xdr:nvSpPr>
      <xdr:spPr>
        <a:xfrm>
          <a:off x="0" y="777240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0</xdr:colOff>
      <xdr:row>46</xdr:row>
      <xdr:rowOff>104775</xdr:rowOff>
    </xdr:to>
    <xdr:sp>
      <xdr:nvSpPr>
        <xdr:cNvPr id="3115" name="Host Control  43"/>
        <xdr:cNvSpPr/>
      </xdr:nvSpPr>
      <xdr:spPr>
        <a:xfrm>
          <a:off x="0" y="79533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0</xdr:colOff>
      <xdr:row>47</xdr:row>
      <xdr:rowOff>104775</xdr:rowOff>
    </xdr:to>
    <xdr:sp>
      <xdr:nvSpPr>
        <xdr:cNvPr id="3116" name="Host Control  44"/>
        <xdr:cNvSpPr/>
      </xdr:nvSpPr>
      <xdr:spPr>
        <a:xfrm>
          <a:off x="0" y="81343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0</xdr:colOff>
      <xdr:row>48</xdr:row>
      <xdr:rowOff>104775</xdr:rowOff>
    </xdr:to>
    <xdr:sp>
      <xdr:nvSpPr>
        <xdr:cNvPr id="3117" name="Host Control  45"/>
        <xdr:cNvSpPr/>
      </xdr:nvSpPr>
      <xdr:spPr>
        <a:xfrm>
          <a:off x="0" y="83153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0</xdr:colOff>
      <xdr:row>49</xdr:row>
      <xdr:rowOff>104775</xdr:rowOff>
    </xdr:to>
    <xdr:sp>
      <xdr:nvSpPr>
        <xdr:cNvPr id="3118" name="Host Control  46"/>
        <xdr:cNvSpPr/>
      </xdr:nvSpPr>
      <xdr:spPr>
        <a:xfrm>
          <a:off x="0" y="84963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0</xdr:colOff>
      <xdr:row>50</xdr:row>
      <xdr:rowOff>104775</xdr:rowOff>
    </xdr:to>
    <xdr:sp>
      <xdr:nvSpPr>
        <xdr:cNvPr id="3119" name="Host Control  47"/>
        <xdr:cNvSpPr/>
      </xdr:nvSpPr>
      <xdr:spPr>
        <a:xfrm>
          <a:off x="0" y="86772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0</xdr:colOff>
      <xdr:row>52</xdr:row>
      <xdr:rowOff>76200</xdr:rowOff>
    </xdr:to>
    <xdr:sp>
      <xdr:nvSpPr>
        <xdr:cNvPr id="3120" name="Host Control  48"/>
        <xdr:cNvSpPr/>
      </xdr:nvSpPr>
      <xdr:spPr>
        <a:xfrm>
          <a:off x="0" y="885825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0</xdr:colOff>
      <xdr:row>52</xdr:row>
      <xdr:rowOff>104775</xdr:rowOff>
    </xdr:to>
    <xdr:sp>
      <xdr:nvSpPr>
        <xdr:cNvPr id="3121" name="Host Control  49"/>
        <xdr:cNvSpPr/>
      </xdr:nvSpPr>
      <xdr:spPr>
        <a:xfrm>
          <a:off x="0" y="90392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1</xdr:col>
      <xdr:colOff>0</xdr:colOff>
      <xdr:row>54</xdr:row>
      <xdr:rowOff>76200</xdr:rowOff>
    </xdr:to>
    <xdr:sp>
      <xdr:nvSpPr>
        <xdr:cNvPr id="3122" name="Host Control  50"/>
        <xdr:cNvSpPr/>
      </xdr:nvSpPr>
      <xdr:spPr>
        <a:xfrm>
          <a:off x="0" y="922020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1</xdr:col>
      <xdr:colOff>0</xdr:colOff>
      <xdr:row>55</xdr:row>
      <xdr:rowOff>85725</xdr:rowOff>
    </xdr:to>
    <xdr:sp>
      <xdr:nvSpPr>
        <xdr:cNvPr id="3123" name="Host Control  51"/>
        <xdr:cNvSpPr/>
      </xdr:nvSpPr>
      <xdr:spPr>
        <a:xfrm>
          <a:off x="0" y="9401175"/>
          <a:ext cx="685800" cy="6286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1</xdr:col>
      <xdr:colOff>0</xdr:colOff>
      <xdr:row>55</xdr:row>
      <xdr:rowOff>104775</xdr:rowOff>
    </xdr:to>
    <xdr:sp>
      <xdr:nvSpPr>
        <xdr:cNvPr id="3124" name="Host Control  52"/>
        <xdr:cNvSpPr/>
      </xdr:nvSpPr>
      <xdr:spPr>
        <a:xfrm>
          <a:off x="0" y="95821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1</xdr:col>
      <xdr:colOff>0</xdr:colOff>
      <xdr:row>56</xdr:row>
      <xdr:rowOff>104775</xdr:rowOff>
    </xdr:to>
    <xdr:sp>
      <xdr:nvSpPr>
        <xdr:cNvPr id="3125" name="Host Control  53"/>
        <xdr:cNvSpPr/>
      </xdr:nvSpPr>
      <xdr:spPr>
        <a:xfrm>
          <a:off x="0" y="97631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1</xdr:col>
      <xdr:colOff>0</xdr:colOff>
      <xdr:row>58</xdr:row>
      <xdr:rowOff>76200</xdr:rowOff>
    </xdr:to>
    <xdr:sp>
      <xdr:nvSpPr>
        <xdr:cNvPr id="3126" name="Host Control  54"/>
        <xdr:cNvSpPr/>
      </xdr:nvSpPr>
      <xdr:spPr>
        <a:xfrm>
          <a:off x="0" y="994410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1</xdr:col>
      <xdr:colOff>0</xdr:colOff>
      <xdr:row>58</xdr:row>
      <xdr:rowOff>104775</xdr:rowOff>
    </xdr:to>
    <xdr:sp>
      <xdr:nvSpPr>
        <xdr:cNvPr id="3127" name="Host Control  55"/>
        <xdr:cNvSpPr/>
      </xdr:nvSpPr>
      <xdr:spPr>
        <a:xfrm>
          <a:off x="0" y="101250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1</xdr:col>
      <xdr:colOff>0</xdr:colOff>
      <xdr:row>59</xdr:row>
      <xdr:rowOff>104775</xdr:rowOff>
    </xdr:to>
    <xdr:sp>
      <xdr:nvSpPr>
        <xdr:cNvPr id="3128" name="Host Control  56"/>
        <xdr:cNvSpPr/>
      </xdr:nvSpPr>
      <xdr:spPr>
        <a:xfrm>
          <a:off x="0" y="103060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1</xdr:col>
      <xdr:colOff>0</xdr:colOff>
      <xdr:row>60</xdr:row>
      <xdr:rowOff>104775</xdr:rowOff>
    </xdr:to>
    <xdr:sp>
      <xdr:nvSpPr>
        <xdr:cNvPr id="3129" name="Host Control  57"/>
        <xdr:cNvSpPr/>
      </xdr:nvSpPr>
      <xdr:spPr>
        <a:xfrm>
          <a:off x="0" y="104870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1</xdr:col>
      <xdr:colOff>0</xdr:colOff>
      <xdr:row>61</xdr:row>
      <xdr:rowOff>104775</xdr:rowOff>
    </xdr:to>
    <xdr:sp>
      <xdr:nvSpPr>
        <xdr:cNvPr id="3130" name="Host Control  58"/>
        <xdr:cNvSpPr/>
      </xdr:nvSpPr>
      <xdr:spPr>
        <a:xfrm>
          <a:off x="0" y="106680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1</xdr:col>
      <xdr:colOff>0</xdr:colOff>
      <xdr:row>62</xdr:row>
      <xdr:rowOff>104775</xdr:rowOff>
    </xdr:to>
    <xdr:sp>
      <xdr:nvSpPr>
        <xdr:cNvPr id="3131" name="Host Control  59"/>
        <xdr:cNvSpPr/>
      </xdr:nvSpPr>
      <xdr:spPr>
        <a:xfrm>
          <a:off x="0" y="108489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1</xdr:col>
      <xdr:colOff>0</xdr:colOff>
      <xdr:row>63</xdr:row>
      <xdr:rowOff>104775</xdr:rowOff>
    </xdr:to>
    <xdr:sp>
      <xdr:nvSpPr>
        <xdr:cNvPr id="3132" name="Host Control  60"/>
        <xdr:cNvSpPr/>
      </xdr:nvSpPr>
      <xdr:spPr>
        <a:xfrm>
          <a:off x="0" y="110299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1</xdr:col>
      <xdr:colOff>0</xdr:colOff>
      <xdr:row>64</xdr:row>
      <xdr:rowOff>104775</xdr:rowOff>
    </xdr:to>
    <xdr:sp>
      <xdr:nvSpPr>
        <xdr:cNvPr id="3133" name="Host Control  61"/>
        <xdr:cNvSpPr/>
      </xdr:nvSpPr>
      <xdr:spPr>
        <a:xfrm>
          <a:off x="0" y="112109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1</xdr:col>
      <xdr:colOff>0</xdr:colOff>
      <xdr:row>65</xdr:row>
      <xdr:rowOff>104775</xdr:rowOff>
    </xdr:to>
    <xdr:sp>
      <xdr:nvSpPr>
        <xdr:cNvPr id="3134" name="Host Control  62"/>
        <xdr:cNvSpPr/>
      </xdr:nvSpPr>
      <xdr:spPr>
        <a:xfrm>
          <a:off x="0" y="113919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1</xdr:col>
      <xdr:colOff>0</xdr:colOff>
      <xdr:row>66</xdr:row>
      <xdr:rowOff>104775</xdr:rowOff>
    </xdr:to>
    <xdr:sp>
      <xdr:nvSpPr>
        <xdr:cNvPr id="3135" name="Host Control  63"/>
        <xdr:cNvSpPr/>
      </xdr:nvSpPr>
      <xdr:spPr>
        <a:xfrm>
          <a:off x="0" y="115728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1</xdr:col>
      <xdr:colOff>0</xdr:colOff>
      <xdr:row>67</xdr:row>
      <xdr:rowOff>104775</xdr:rowOff>
    </xdr:to>
    <xdr:sp>
      <xdr:nvSpPr>
        <xdr:cNvPr id="3136" name="Host Control  64"/>
        <xdr:cNvSpPr/>
      </xdr:nvSpPr>
      <xdr:spPr>
        <a:xfrm>
          <a:off x="0" y="117538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1</xdr:col>
      <xdr:colOff>0</xdr:colOff>
      <xdr:row>68</xdr:row>
      <xdr:rowOff>104775</xdr:rowOff>
    </xdr:to>
    <xdr:sp>
      <xdr:nvSpPr>
        <xdr:cNvPr id="3137" name="Host Control  65"/>
        <xdr:cNvSpPr/>
      </xdr:nvSpPr>
      <xdr:spPr>
        <a:xfrm>
          <a:off x="0" y="119348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1</xdr:col>
      <xdr:colOff>0</xdr:colOff>
      <xdr:row>69</xdr:row>
      <xdr:rowOff>104775</xdr:rowOff>
    </xdr:to>
    <xdr:sp>
      <xdr:nvSpPr>
        <xdr:cNvPr id="3138" name="Host Control  66"/>
        <xdr:cNvSpPr/>
      </xdr:nvSpPr>
      <xdr:spPr>
        <a:xfrm>
          <a:off x="0" y="121158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1</xdr:col>
      <xdr:colOff>0</xdr:colOff>
      <xdr:row>70</xdr:row>
      <xdr:rowOff>104775</xdr:rowOff>
    </xdr:to>
    <xdr:sp>
      <xdr:nvSpPr>
        <xdr:cNvPr id="3139" name="Host Control  67"/>
        <xdr:cNvSpPr/>
      </xdr:nvSpPr>
      <xdr:spPr>
        <a:xfrm>
          <a:off x="0" y="122967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1</xdr:col>
      <xdr:colOff>0</xdr:colOff>
      <xdr:row>71</xdr:row>
      <xdr:rowOff>104775</xdr:rowOff>
    </xdr:to>
    <xdr:sp>
      <xdr:nvSpPr>
        <xdr:cNvPr id="3140" name="Host Control  68"/>
        <xdr:cNvSpPr/>
      </xdr:nvSpPr>
      <xdr:spPr>
        <a:xfrm>
          <a:off x="0" y="124777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0</xdr:colOff>
      <xdr:row>72</xdr:row>
      <xdr:rowOff>104775</xdr:rowOff>
    </xdr:to>
    <xdr:sp>
      <xdr:nvSpPr>
        <xdr:cNvPr id="3141" name="Host Control  69"/>
        <xdr:cNvSpPr/>
      </xdr:nvSpPr>
      <xdr:spPr>
        <a:xfrm>
          <a:off x="0" y="126587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1</xdr:col>
      <xdr:colOff>0</xdr:colOff>
      <xdr:row>74</xdr:row>
      <xdr:rowOff>76200</xdr:rowOff>
    </xdr:to>
    <xdr:sp>
      <xdr:nvSpPr>
        <xdr:cNvPr id="3142" name="Host Control  70"/>
        <xdr:cNvSpPr/>
      </xdr:nvSpPr>
      <xdr:spPr>
        <a:xfrm>
          <a:off x="0" y="1283970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1</xdr:col>
      <xdr:colOff>0</xdr:colOff>
      <xdr:row>74</xdr:row>
      <xdr:rowOff>104775</xdr:rowOff>
    </xdr:to>
    <xdr:sp>
      <xdr:nvSpPr>
        <xdr:cNvPr id="3143" name="Host Control  71"/>
        <xdr:cNvSpPr/>
      </xdr:nvSpPr>
      <xdr:spPr>
        <a:xfrm>
          <a:off x="0" y="130206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1</xdr:col>
      <xdr:colOff>0</xdr:colOff>
      <xdr:row>75</xdr:row>
      <xdr:rowOff>104775</xdr:rowOff>
    </xdr:to>
    <xdr:sp>
      <xdr:nvSpPr>
        <xdr:cNvPr id="3144" name="Host Control  72"/>
        <xdr:cNvSpPr/>
      </xdr:nvSpPr>
      <xdr:spPr>
        <a:xfrm>
          <a:off x="0" y="132016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1</xdr:col>
      <xdr:colOff>0</xdr:colOff>
      <xdr:row>76</xdr:row>
      <xdr:rowOff>104775</xdr:rowOff>
    </xdr:to>
    <xdr:sp>
      <xdr:nvSpPr>
        <xdr:cNvPr id="3145" name="Host Control  73"/>
        <xdr:cNvSpPr/>
      </xdr:nvSpPr>
      <xdr:spPr>
        <a:xfrm>
          <a:off x="0" y="133826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1</xdr:col>
      <xdr:colOff>0</xdr:colOff>
      <xdr:row>77</xdr:row>
      <xdr:rowOff>104775</xdr:rowOff>
    </xdr:to>
    <xdr:sp>
      <xdr:nvSpPr>
        <xdr:cNvPr id="3146" name="Host Control  74"/>
        <xdr:cNvSpPr/>
      </xdr:nvSpPr>
      <xdr:spPr>
        <a:xfrm>
          <a:off x="0" y="135636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76</xdr:row>
      <xdr:rowOff>0</xdr:rowOff>
    </xdr:from>
    <xdr:to>
      <xdr:col>1</xdr:col>
      <xdr:colOff>0</xdr:colOff>
      <xdr:row>78</xdr:row>
      <xdr:rowOff>104775</xdr:rowOff>
    </xdr:to>
    <xdr:sp>
      <xdr:nvSpPr>
        <xdr:cNvPr id="3147" name="Host Control  75"/>
        <xdr:cNvSpPr/>
      </xdr:nvSpPr>
      <xdr:spPr>
        <a:xfrm>
          <a:off x="0" y="137445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1</xdr:col>
      <xdr:colOff>0</xdr:colOff>
      <xdr:row>79</xdr:row>
      <xdr:rowOff>104775</xdr:rowOff>
    </xdr:to>
    <xdr:sp>
      <xdr:nvSpPr>
        <xdr:cNvPr id="3148" name="Host Control  76"/>
        <xdr:cNvSpPr/>
      </xdr:nvSpPr>
      <xdr:spPr>
        <a:xfrm>
          <a:off x="0" y="139255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78</xdr:row>
      <xdr:rowOff>0</xdr:rowOff>
    </xdr:from>
    <xdr:to>
      <xdr:col>1</xdr:col>
      <xdr:colOff>0</xdr:colOff>
      <xdr:row>80</xdr:row>
      <xdr:rowOff>104775</xdr:rowOff>
    </xdr:to>
    <xdr:sp>
      <xdr:nvSpPr>
        <xdr:cNvPr id="3149" name="Host Control  77"/>
        <xdr:cNvSpPr/>
      </xdr:nvSpPr>
      <xdr:spPr>
        <a:xfrm>
          <a:off x="0" y="141065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79</xdr:row>
      <xdr:rowOff>0</xdr:rowOff>
    </xdr:from>
    <xdr:to>
      <xdr:col>1</xdr:col>
      <xdr:colOff>0</xdr:colOff>
      <xdr:row>81</xdr:row>
      <xdr:rowOff>104775</xdr:rowOff>
    </xdr:to>
    <xdr:sp>
      <xdr:nvSpPr>
        <xdr:cNvPr id="3150" name="Host Control  78"/>
        <xdr:cNvSpPr/>
      </xdr:nvSpPr>
      <xdr:spPr>
        <a:xfrm>
          <a:off x="0" y="142875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1</xdr:col>
      <xdr:colOff>0</xdr:colOff>
      <xdr:row>83</xdr:row>
      <xdr:rowOff>76200</xdr:rowOff>
    </xdr:to>
    <xdr:sp>
      <xdr:nvSpPr>
        <xdr:cNvPr id="3151" name="Host Control  79"/>
        <xdr:cNvSpPr/>
      </xdr:nvSpPr>
      <xdr:spPr>
        <a:xfrm>
          <a:off x="0" y="1446847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1</xdr:col>
      <xdr:colOff>0</xdr:colOff>
      <xdr:row>83</xdr:row>
      <xdr:rowOff>104775</xdr:rowOff>
    </xdr:to>
    <xdr:sp>
      <xdr:nvSpPr>
        <xdr:cNvPr id="3152" name="Host Control  80"/>
        <xdr:cNvSpPr/>
      </xdr:nvSpPr>
      <xdr:spPr>
        <a:xfrm>
          <a:off x="0" y="146494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1</xdr:col>
      <xdr:colOff>0</xdr:colOff>
      <xdr:row>84</xdr:row>
      <xdr:rowOff>114300</xdr:rowOff>
    </xdr:to>
    <xdr:sp>
      <xdr:nvSpPr>
        <xdr:cNvPr id="3153" name="Host Control  81"/>
        <xdr:cNvSpPr/>
      </xdr:nvSpPr>
      <xdr:spPr>
        <a:xfrm>
          <a:off x="0" y="14830425"/>
          <a:ext cx="685800" cy="4762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1</xdr:col>
      <xdr:colOff>0</xdr:colOff>
      <xdr:row>85</xdr:row>
      <xdr:rowOff>104775</xdr:rowOff>
    </xdr:to>
    <xdr:sp>
      <xdr:nvSpPr>
        <xdr:cNvPr id="3154" name="Host Control  82"/>
        <xdr:cNvSpPr/>
      </xdr:nvSpPr>
      <xdr:spPr>
        <a:xfrm>
          <a:off x="0" y="150114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1</xdr:col>
      <xdr:colOff>0</xdr:colOff>
      <xdr:row>86</xdr:row>
      <xdr:rowOff>104775</xdr:rowOff>
    </xdr:to>
    <xdr:sp>
      <xdr:nvSpPr>
        <xdr:cNvPr id="3155" name="Host Control  83"/>
        <xdr:cNvSpPr/>
      </xdr:nvSpPr>
      <xdr:spPr>
        <a:xfrm>
          <a:off x="0" y="151923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1</xdr:col>
      <xdr:colOff>0</xdr:colOff>
      <xdr:row>88</xdr:row>
      <xdr:rowOff>76200</xdr:rowOff>
    </xdr:to>
    <xdr:sp>
      <xdr:nvSpPr>
        <xdr:cNvPr id="3156" name="Host Control  84"/>
        <xdr:cNvSpPr/>
      </xdr:nvSpPr>
      <xdr:spPr>
        <a:xfrm>
          <a:off x="0" y="1537335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1</xdr:col>
      <xdr:colOff>0</xdr:colOff>
      <xdr:row>89</xdr:row>
      <xdr:rowOff>76200</xdr:rowOff>
    </xdr:to>
    <xdr:sp>
      <xdr:nvSpPr>
        <xdr:cNvPr id="3157" name="Host Control  85"/>
        <xdr:cNvSpPr/>
      </xdr:nvSpPr>
      <xdr:spPr>
        <a:xfrm>
          <a:off x="0" y="1555432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1</xdr:col>
      <xdr:colOff>0</xdr:colOff>
      <xdr:row>89</xdr:row>
      <xdr:rowOff>104775</xdr:rowOff>
    </xdr:to>
    <xdr:sp>
      <xdr:nvSpPr>
        <xdr:cNvPr id="3158" name="Host Control  86"/>
        <xdr:cNvSpPr/>
      </xdr:nvSpPr>
      <xdr:spPr>
        <a:xfrm>
          <a:off x="0" y="157353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88</xdr:row>
      <xdr:rowOff>0</xdr:rowOff>
    </xdr:from>
    <xdr:to>
      <xdr:col>1</xdr:col>
      <xdr:colOff>0</xdr:colOff>
      <xdr:row>91</xdr:row>
      <xdr:rowOff>76200</xdr:rowOff>
    </xdr:to>
    <xdr:sp>
      <xdr:nvSpPr>
        <xdr:cNvPr id="3159" name="Host Control  87"/>
        <xdr:cNvSpPr/>
      </xdr:nvSpPr>
      <xdr:spPr>
        <a:xfrm>
          <a:off x="0" y="1591627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1</xdr:col>
      <xdr:colOff>0</xdr:colOff>
      <xdr:row>91</xdr:row>
      <xdr:rowOff>104775</xdr:rowOff>
    </xdr:to>
    <xdr:sp>
      <xdr:nvSpPr>
        <xdr:cNvPr id="3160" name="Host Control  88"/>
        <xdr:cNvSpPr/>
      </xdr:nvSpPr>
      <xdr:spPr>
        <a:xfrm>
          <a:off x="0" y="160972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1</xdr:col>
      <xdr:colOff>0</xdr:colOff>
      <xdr:row>93</xdr:row>
      <xdr:rowOff>85725</xdr:rowOff>
    </xdr:to>
    <xdr:sp>
      <xdr:nvSpPr>
        <xdr:cNvPr id="3161" name="Host Control  89"/>
        <xdr:cNvSpPr/>
      </xdr:nvSpPr>
      <xdr:spPr>
        <a:xfrm>
          <a:off x="0" y="16278225"/>
          <a:ext cx="685800" cy="6286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1</xdr:col>
      <xdr:colOff>0</xdr:colOff>
      <xdr:row>94</xdr:row>
      <xdr:rowOff>76200</xdr:rowOff>
    </xdr:to>
    <xdr:sp>
      <xdr:nvSpPr>
        <xdr:cNvPr id="3162" name="Host Control  90"/>
        <xdr:cNvSpPr/>
      </xdr:nvSpPr>
      <xdr:spPr>
        <a:xfrm>
          <a:off x="0" y="1645920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1</xdr:col>
      <xdr:colOff>0</xdr:colOff>
      <xdr:row>95</xdr:row>
      <xdr:rowOff>76200</xdr:rowOff>
    </xdr:to>
    <xdr:sp>
      <xdr:nvSpPr>
        <xdr:cNvPr id="3163" name="Host Control  91"/>
        <xdr:cNvSpPr/>
      </xdr:nvSpPr>
      <xdr:spPr>
        <a:xfrm>
          <a:off x="0" y="1664017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1</xdr:col>
      <xdr:colOff>0</xdr:colOff>
      <xdr:row>96</xdr:row>
      <xdr:rowOff>85725</xdr:rowOff>
    </xdr:to>
    <xdr:sp>
      <xdr:nvSpPr>
        <xdr:cNvPr id="3164" name="Host Control  92"/>
        <xdr:cNvSpPr/>
      </xdr:nvSpPr>
      <xdr:spPr>
        <a:xfrm>
          <a:off x="0" y="16821150"/>
          <a:ext cx="685800" cy="6286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1</xdr:col>
      <xdr:colOff>0</xdr:colOff>
      <xdr:row>96</xdr:row>
      <xdr:rowOff>104775</xdr:rowOff>
    </xdr:to>
    <xdr:sp>
      <xdr:nvSpPr>
        <xdr:cNvPr id="3165" name="Host Control  93"/>
        <xdr:cNvSpPr/>
      </xdr:nvSpPr>
      <xdr:spPr>
        <a:xfrm>
          <a:off x="0" y="170021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1</xdr:col>
      <xdr:colOff>0</xdr:colOff>
      <xdr:row>98</xdr:row>
      <xdr:rowOff>76200</xdr:rowOff>
    </xdr:to>
    <xdr:sp>
      <xdr:nvSpPr>
        <xdr:cNvPr id="3166" name="Host Control  94"/>
        <xdr:cNvSpPr/>
      </xdr:nvSpPr>
      <xdr:spPr>
        <a:xfrm>
          <a:off x="0" y="1718310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1</xdr:col>
      <xdr:colOff>0</xdr:colOff>
      <xdr:row>98</xdr:row>
      <xdr:rowOff>104775</xdr:rowOff>
    </xdr:to>
    <xdr:sp>
      <xdr:nvSpPr>
        <xdr:cNvPr id="3167" name="Host Control  95"/>
        <xdr:cNvSpPr/>
      </xdr:nvSpPr>
      <xdr:spPr>
        <a:xfrm>
          <a:off x="0" y="173640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1</xdr:col>
      <xdr:colOff>0</xdr:colOff>
      <xdr:row>99</xdr:row>
      <xdr:rowOff>114300</xdr:rowOff>
    </xdr:to>
    <xdr:sp>
      <xdr:nvSpPr>
        <xdr:cNvPr id="3168" name="Host Control  96"/>
        <xdr:cNvSpPr/>
      </xdr:nvSpPr>
      <xdr:spPr>
        <a:xfrm>
          <a:off x="0" y="17545050"/>
          <a:ext cx="685800" cy="4762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1</xdr:col>
      <xdr:colOff>0</xdr:colOff>
      <xdr:row>100</xdr:row>
      <xdr:rowOff>104775</xdr:rowOff>
    </xdr:to>
    <xdr:sp>
      <xdr:nvSpPr>
        <xdr:cNvPr id="3169" name="Host Control  97"/>
        <xdr:cNvSpPr/>
      </xdr:nvSpPr>
      <xdr:spPr>
        <a:xfrm>
          <a:off x="0" y="177260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1</xdr:col>
      <xdr:colOff>0</xdr:colOff>
      <xdr:row>101</xdr:row>
      <xdr:rowOff>104775</xdr:rowOff>
    </xdr:to>
    <xdr:sp>
      <xdr:nvSpPr>
        <xdr:cNvPr id="3170" name="Host Control  98"/>
        <xdr:cNvSpPr/>
      </xdr:nvSpPr>
      <xdr:spPr>
        <a:xfrm>
          <a:off x="0" y="179070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1</xdr:col>
      <xdr:colOff>0</xdr:colOff>
      <xdr:row>102</xdr:row>
      <xdr:rowOff>104775</xdr:rowOff>
    </xdr:to>
    <xdr:sp>
      <xdr:nvSpPr>
        <xdr:cNvPr id="3171" name="Host Control  99"/>
        <xdr:cNvSpPr/>
      </xdr:nvSpPr>
      <xdr:spPr>
        <a:xfrm>
          <a:off x="0" y="180879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1</xdr:col>
      <xdr:colOff>0</xdr:colOff>
      <xdr:row>104</xdr:row>
      <xdr:rowOff>76200</xdr:rowOff>
    </xdr:to>
    <xdr:sp>
      <xdr:nvSpPr>
        <xdr:cNvPr id="3172" name="Host Control  100"/>
        <xdr:cNvSpPr/>
      </xdr:nvSpPr>
      <xdr:spPr>
        <a:xfrm>
          <a:off x="0" y="1826895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1</xdr:col>
      <xdr:colOff>0</xdr:colOff>
      <xdr:row>104</xdr:row>
      <xdr:rowOff>104775</xdr:rowOff>
    </xdr:to>
    <xdr:sp>
      <xdr:nvSpPr>
        <xdr:cNvPr id="3173" name="Host Control  101"/>
        <xdr:cNvSpPr/>
      </xdr:nvSpPr>
      <xdr:spPr>
        <a:xfrm>
          <a:off x="0" y="184499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1</xdr:col>
      <xdr:colOff>0</xdr:colOff>
      <xdr:row>105</xdr:row>
      <xdr:rowOff>114300</xdr:rowOff>
    </xdr:to>
    <xdr:sp>
      <xdr:nvSpPr>
        <xdr:cNvPr id="3174" name="Host Control  102"/>
        <xdr:cNvSpPr/>
      </xdr:nvSpPr>
      <xdr:spPr>
        <a:xfrm>
          <a:off x="0" y="18630900"/>
          <a:ext cx="685800" cy="4762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1</xdr:col>
      <xdr:colOff>0</xdr:colOff>
      <xdr:row>106</xdr:row>
      <xdr:rowOff>104775</xdr:rowOff>
    </xdr:to>
    <xdr:sp>
      <xdr:nvSpPr>
        <xdr:cNvPr id="3175" name="Host Control  103"/>
        <xdr:cNvSpPr/>
      </xdr:nvSpPr>
      <xdr:spPr>
        <a:xfrm>
          <a:off x="0" y="188118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0</xdr:colOff>
      <xdr:row>108</xdr:row>
      <xdr:rowOff>85725</xdr:rowOff>
    </xdr:to>
    <xdr:sp>
      <xdr:nvSpPr>
        <xdr:cNvPr id="3176" name="Host Control  104"/>
        <xdr:cNvSpPr/>
      </xdr:nvSpPr>
      <xdr:spPr>
        <a:xfrm>
          <a:off x="0" y="18992850"/>
          <a:ext cx="685800" cy="6286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0</xdr:colOff>
      <xdr:row>108</xdr:row>
      <xdr:rowOff>114300</xdr:rowOff>
    </xdr:to>
    <xdr:sp>
      <xdr:nvSpPr>
        <xdr:cNvPr id="3177" name="Host Control  105"/>
        <xdr:cNvSpPr/>
      </xdr:nvSpPr>
      <xdr:spPr>
        <a:xfrm>
          <a:off x="0" y="19173825"/>
          <a:ext cx="685800" cy="4762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0</xdr:colOff>
      <xdr:row>109</xdr:row>
      <xdr:rowOff>104775</xdr:rowOff>
    </xdr:to>
    <xdr:sp>
      <xdr:nvSpPr>
        <xdr:cNvPr id="3178" name="Host Control  106"/>
        <xdr:cNvSpPr/>
      </xdr:nvSpPr>
      <xdr:spPr>
        <a:xfrm>
          <a:off x="0" y="193548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0</xdr:colOff>
      <xdr:row>110</xdr:row>
      <xdr:rowOff>104775</xdr:rowOff>
    </xdr:to>
    <xdr:sp>
      <xdr:nvSpPr>
        <xdr:cNvPr id="3179" name="Host Control  107"/>
        <xdr:cNvSpPr/>
      </xdr:nvSpPr>
      <xdr:spPr>
        <a:xfrm>
          <a:off x="0" y="195357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0</xdr:colOff>
      <xdr:row>112</xdr:row>
      <xdr:rowOff>95250</xdr:rowOff>
    </xdr:to>
    <xdr:sp>
      <xdr:nvSpPr>
        <xdr:cNvPr id="3180" name="Host Control  108"/>
        <xdr:cNvSpPr/>
      </xdr:nvSpPr>
      <xdr:spPr>
        <a:xfrm>
          <a:off x="0" y="19716750"/>
          <a:ext cx="685800" cy="6381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0</xdr:colOff>
      <xdr:row>112</xdr:row>
      <xdr:rowOff>104775</xdr:rowOff>
    </xdr:to>
    <xdr:sp>
      <xdr:nvSpPr>
        <xdr:cNvPr id="3181" name="Host Control  109"/>
        <xdr:cNvSpPr/>
      </xdr:nvSpPr>
      <xdr:spPr>
        <a:xfrm>
          <a:off x="0" y="198977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0</xdr:colOff>
      <xdr:row>113</xdr:row>
      <xdr:rowOff>104775</xdr:rowOff>
    </xdr:to>
    <xdr:sp>
      <xdr:nvSpPr>
        <xdr:cNvPr id="3182" name="Host Control  110"/>
        <xdr:cNvSpPr/>
      </xdr:nvSpPr>
      <xdr:spPr>
        <a:xfrm>
          <a:off x="0" y="200787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0</xdr:colOff>
      <xdr:row>115</xdr:row>
      <xdr:rowOff>85725</xdr:rowOff>
    </xdr:to>
    <xdr:sp>
      <xdr:nvSpPr>
        <xdr:cNvPr id="3183" name="Host Control  111"/>
        <xdr:cNvSpPr/>
      </xdr:nvSpPr>
      <xdr:spPr>
        <a:xfrm>
          <a:off x="0" y="20259675"/>
          <a:ext cx="685800" cy="6286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0</xdr:colOff>
      <xdr:row>116</xdr:row>
      <xdr:rowOff>85725</xdr:rowOff>
    </xdr:to>
    <xdr:sp>
      <xdr:nvSpPr>
        <xdr:cNvPr id="3184" name="Host Control  112"/>
        <xdr:cNvSpPr/>
      </xdr:nvSpPr>
      <xdr:spPr>
        <a:xfrm>
          <a:off x="0" y="20440650"/>
          <a:ext cx="685800" cy="6286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0</xdr:colOff>
      <xdr:row>117</xdr:row>
      <xdr:rowOff>95250</xdr:rowOff>
    </xdr:to>
    <xdr:sp>
      <xdr:nvSpPr>
        <xdr:cNvPr id="3185" name="Host Control  113"/>
        <xdr:cNvSpPr/>
      </xdr:nvSpPr>
      <xdr:spPr>
        <a:xfrm>
          <a:off x="0" y="20621625"/>
          <a:ext cx="685800" cy="6381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0</xdr:colOff>
      <xdr:row>117</xdr:row>
      <xdr:rowOff>104775</xdr:rowOff>
    </xdr:to>
    <xdr:sp>
      <xdr:nvSpPr>
        <xdr:cNvPr id="3186" name="Host Control  114"/>
        <xdr:cNvSpPr/>
      </xdr:nvSpPr>
      <xdr:spPr>
        <a:xfrm>
          <a:off x="0" y="208026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0</xdr:colOff>
      <xdr:row>118</xdr:row>
      <xdr:rowOff>104775</xdr:rowOff>
    </xdr:to>
    <xdr:sp>
      <xdr:nvSpPr>
        <xdr:cNvPr id="3187" name="Host Control  115"/>
        <xdr:cNvSpPr/>
      </xdr:nvSpPr>
      <xdr:spPr>
        <a:xfrm>
          <a:off x="0" y="209835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0</xdr:colOff>
      <xdr:row>119</xdr:row>
      <xdr:rowOff>114300</xdr:rowOff>
    </xdr:to>
    <xdr:sp>
      <xdr:nvSpPr>
        <xdr:cNvPr id="3188" name="Host Control  116"/>
        <xdr:cNvSpPr/>
      </xdr:nvSpPr>
      <xdr:spPr>
        <a:xfrm>
          <a:off x="0" y="21164550"/>
          <a:ext cx="685800" cy="4762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0</xdr:colOff>
      <xdr:row>121</xdr:row>
      <xdr:rowOff>85725</xdr:rowOff>
    </xdr:to>
    <xdr:sp>
      <xdr:nvSpPr>
        <xdr:cNvPr id="3189" name="Host Control  117"/>
        <xdr:cNvSpPr/>
      </xdr:nvSpPr>
      <xdr:spPr>
        <a:xfrm>
          <a:off x="0" y="21345525"/>
          <a:ext cx="685800" cy="6286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0</xdr:colOff>
      <xdr:row>121</xdr:row>
      <xdr:rowOff>104775</xdr:rowOff>
    </xdr:to>
    <xdr:sp>
      <xdr:nvSpPr>
        <xdr:cNvPr id="3190" name="Host Control  118"/>
        <xdr:cNvSpPr/>
      </xdr:nvSpPr>
      <xdr:spPr>
        <a:xfrm>
          <a:off x="0" y="215265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0</xdr:colOff>
      <xdr:row>122</xdr:row>
      <xdr:rowOff>104775</xdr:rowOff>
    </xdr:to>
    <xdr:sp>
      <xdr:nvSpPr>
        <xdr:cNvPr id="3191" name="Host Control  119"/>
        <xdr:cNvSpPr/>
      </xdr:nvSpPr>
      <xdr:spPr>
        <a:xfrm>
          <a:off x="0" y="217074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0</xdr:colOff>
      <xdr:row>123</xdr:row>
      <xdr:rowOff>104775</xdr:rowOff>
    </xdr:to>
    <xdr:sp>
      <xdr:nvSpPr>
        <xdr:cNvPr id="3192" name="Host Control  120"/>
        <xdr:cNvSpPr/>
      </xdr:nvSpPr>
      <xdr:spPr>
        <a:xfrm>
          <a:off x="0" y="218884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0</xdr:colOff>
      <xdr:row>125</xdr:row>
      <xdr:rowOff>95250</xdr:rowOff>
    </xdr:to>
    <xdr:sp>
      <xdr:nvSpPr>
        <xdr:cNvPr id="3193" name="Host Control  121"/>
        <xdr:cNvSpPr/>
      </xdr:nvSpPr>
      <xdr:spPr>
        <a:xfrm>
          <a:off x="0" y="22069425"/>
          <a:ext cx="685800" cy="6381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0</xdr:colOff>
      <xdr:row>126</xdr:row>
      <xdr:rowOff>76200</xdr:rowOff>
    </xdr:to>
    <xdr:sp>
      <xdr:nvSpPr>
        <xdr:cNvPr id="3194" name="Host Control  122"/>
        <xdr:cNvSpPr/>
      </xdr:nvSpPr>
      <xdr:spPr>
        <a:xfrm>
          <a:off x="0" y="2225040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0</xdr:colOff>
      <xdr:row>126</xdr:row>
      <xdr:rowOff>104775</xdr:rowOff>
    </xdr:to>
    <xdr:sp>
      <xdr:nvSpPr>
        <xdr:cNvPr id="3195" name="Host Control  123"/>
        <xdr:cNvSpPr/>
      </xdr:nvSpPr>
      <xdr:spPr>
        <a:xfrm>
          <a:off x="0" y="224313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0</xdr:colOff>
      <xdr:row>127</xdr:row>
      <xdr:rowOff>104775</xdr:rowOff>
    </xdr:to>
    <xdr:sp>
      <xdr:nvSpPr>
        <xdr:cNvPr id="3196" name="Host Control  124"/>
        <xdr:cNvSpPr/>
      </xdr:nvSpPr>
      <xdr:spPr>
        <a:xfrm>
          <a:off x="0" y="226123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0</xdr:colOff>
      <xdr:row>128</xdr:row>
      <xdr:rowOff>104775</xdr:rowOff>
    </xdr:to>
    <xdr:sp>
      <xdr:nvSpPr>
        <xdr:cNvPr id="3197" name="Host Control  125"/>
        <xdr:cNvSpPr/>
      </xdr:nvSpPr>
      <xdr:spPr>
        <a:xfrm>
          <a:off x="0" y="227933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0</xdr:colOff>
      <xdr:row>129</xdr:row>
      <xdr:rowOff>104775</xdr:rowOff>
    </xdr:to>
    <xdr:sp>
      <xdr:nvSpPr>
        <xdr:cNvPr id="3198" name="Host Control  126"/>
        <xdr:cNvSpPr/>
      </xdr:nvSpPr>
      <xdr:spPr>
        <a:xfrm>
          <a:off x="0" y="229743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0</xdr:colOff>
      <xdr:row>131</xdr:row>
      <xdr:rowOff>95250</xdr:rowOff>
    </xdr:to>
    <xdr:sp>
      <xdr:nvSpPr>
        <xdr:cNvPr id="3199" name="Host Control  127"/>
        <xdr:cNvSpPr/>
      </xdr:nvSpPr>
      <xdr:spPr>
        <a:xfrm>
          <a:off x="0" y="23155275"/>
          <a:ext cx="685800" cy="6381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0</xdr:colOff>
      <xdr:row>132</xdr:row>
      <xdr:rowOff>95250</xdr:rowOff>
    </xdr:to>
    <xdr:sp>
      <xdr:nvSpPr>
        <xdr:cNvPr id="3200" name="Host Control  128"/>
        <xdr:cNvSpPr/>
      </xdr:nvSpPr>
      <xdr:spPr>
        <a:xfrm>
          <a:off x="0" y="23336250"/>
          <a:ext cx="685800" cy="6381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0</xdr:colOff>
      <xdr:row>132</xdr:row>
      <xdr:rowOff>104775</xdr:rowOff>
    </xdr:to>
    <xdr:sp>
      <xdr:nvSpPr>
        <xdr:cNvPr id="3201" name="Host Control  129"/>
        <xdr:cNvSpPr/>
      </xdr:nvSpPr>
      <xdr:spPr>
        <a:xfrm>
          <a:off x="0" y="235172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0</xdr:colOff>
      <xdr:row>133</xdr:row>
      <xdr:rowOff>104775</xdr:rowOff>
    </xdr:to>
    <xdr:sp>
      <xdr:nvSpPr>
        <xdr:cNvPr id="3202" name="Host Control  130"/>
        <xdr:cNvSpPr/>
      </xdr:nvSpPr>
      <xdr:spPr>
        <a:xfrm>
          <a:off x="0" y="236982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0</xdr:colOff>
      <xdr:row>135</xdr:row>
      <xdr:rowOff>95250</xdr:rowOff>
    </xdr:to>
    <xdr:sp>
      <xdr:nvSpPr>
        <xdr:cNvPr id="3203" name="Host Control  131"/>
        <xdr:cNvSpPr/>
      </xdr:nvSpPr>
      <xdr:spPr>
        <a:xfrm>
          <a:off x="0" y="23879175"/>
          <a:ext cx="685800" cy="6381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0</xdr:colOff>
      <xdr:row>135</xdr:row>
      <xdr:rowOff>104775</xdr:rowOff>
    </xdr:to>
    <xdr:sp>
      <xdr:nvSpPr>
        <xdr:cNvPr id="3204" name="Host Control  132"/>
        <xdr:cNvSpPr/>
      </xdr:nvSpPr>
      <xdr:spPr>
        <a:xfrm>
          <a:off x="0" y="240601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0</xdr:colOff>
      <xdr:row>136</xdr:row>
      <xdr:rowOff>104775</xdr:rowOff>
    </xdr:to>
    <xdr:sp>
      <xdr:nvSpPr>
        <xdr:cNvPr id="3205" name="Host Control  133"/>
        <xdr:cNvSpPr/>
      </xdr:nvSpPr>
      <xdr:spPr>
        <a:xfrm>
          <a:off x="0" y="242411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0</xdr:colOff>
      <xdr:row>137</xdr:row>
      <xdr:rowOff>114300</xdr:rowOff>
    </xdr:to>
    <xdr:sp>
      <xdr:nvSpPr>
        <xdr:cNvPr id="3206" name="Host Control  134"/>
        <xdr:cNvSpPr/>
      </xdr:nvSpPr>
      <xdr:spPr>
        <a:xfrm>
          <a:off x="0" y="24422100"/>
          <a:ext cx="685800" cy="4762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0</xdr:colOff>
      <xdr:row>138</xdr:row>
      <xdr:rowOff>104775</xdr:rowOff>
    </xdr:to>
    <xdr:sp>
      <xdr:nvSpPr>
        <xdr:cNvPr id="3207" name="Host Control  135"/>
        <xdr:cNvSpPr/>
      </xdr:nvSpPr>
      <xdr:spPr>
        <a:xfrm>
          <a:off x="0" y="246030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0</xdr:colOff>
      <xdr:row>139</xdr:row>
      <xdr:rowOff>104775</xdr:rowOff>
    </xdr:to>
    <xdr:sp>
      <xdr:nvSpPr>
        <xdr:cNvPr id="3208" name="Host Control  136"/>
        <xdr:cNvSpPr/>
      </xdr:nvSpPr>
      <xdr:spPr>
        <a:xfrm>
          <a:off x="0" y="247840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0</xdr:colOff>
      <xdr:row>140</xdr:row>
      <xdr:rowOff>104775</xdr:rowOff>
    </xdr:to>
    <xdr:sp>
      <xdr:nvSpPr>
        <xdr:cNvPr id="3209" name="Host Control  137"/>
        <xdr:cNvSpPr/>
      </xdr:nvSpPr>
      <xdr:spPr>
        <a:xfrm>
          <a:off x="0" y="249650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0</xdr:colOff>
      <xdr:row>142</xdr:row>
      <xdr:rowOff>76200</xdr:rowOff>
    </xdr:to>
    <xdr:sp>
      <xdr:nvSpPr>
        <xdr:cNvPr id="3210" name="Host Control  138"/>
        <xdr:cNvSpPr/>
      </xdr:nvSpPr>
      <xdr:spPr>
        <a:xfrm>
          <a:off x="0" y="2514600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0</xdr:colOff>
      <xdr:row>142</xdr:row>
      <xdr:rowOff>104775</xdr:rowOff>
    </xdr:to>
    <xdr:sp>
      <xdr:nvSpPr>
        <xdr:cNvPr id="3211" name="Host Control  139"/>
        <xdr:cNvSpPr/>
      </xdr:nvSpPr>
      <xdr:spPr>
        <a:xfrm>
          <a:off x="0" y="253269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0</xdr:colOff>
      <xdr:row>143</xdr:row>
      <xdr:rowOff>104775</xdr:rowOff>
    </xdr:to>
    <xdr:sp>
      <xdr:nvSpPr>
        <xdr:cNvPr id="3212" name="Host Control  140"/>
        <xdr:cNvSpPr/>
      </xdr:nvSpPr>
      <xdr:spPr>
        <a:xfrm>
          <a:off x="0" y="255079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0</xdr:colOff>
      <xdr:row>144</xdr:row>
      <xdr:rowOff>104775</xdr:rowOff>
    </xdr:to>
    <xdr:sp>
      <xdr:nvSpPr>
        <xdr:cNvPr id="3213" name="Host Control  141"/>
        <xdr:cNvSpPr/>
      </xdr:nvSpPr>
      <xdr:spPr>
        <a:xfrm>
          <a:off x="0" y="256889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0</xdr:colOff>
      <xdr:row>146</xdr:row>
      <xdr:rowOff>85725</xdr:rowOff>
    </xdr:to>
    <xdr:sp>
      <xdr:nvSpPr>
        <xdr:cNvPr id="3214" name="Host Control  142"/>
        <xdr:cNvSpPr/>
      </xdr:nvSpPr>
      <xdr:spPr>
        <a:xfrm>
          <a:off x="0" y="25869900"/>
          <a:ext cx="685800" cy="6286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0</xdr:colOff>
      <xdr:row>146</xdr:row>
      <xdr:rowOff>104775</xdr:rowOff>
    </xdr:to>
    <xdr:sp>
      <xdr:nvSpPr>
        <xdr:cNvPr id="3215" name="Host Control  143"/>
        <xdr:cNvSpPr/>
      </xdr:nvSpPr>
      <xdr:spPr>
        <a:xfrm>
          <a:off x="0" y="260508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0</xdr:colOff>
      <xdr:row>147</xdr:row>
      <xdr:rowOff>104775</xdr:rowOff>
    </xdr:to>
    <xdr:sp>
      <xdr:nvSpPr>
        <xdr:cNvPr id="3216" name="Host Control  144"/>
        <xdr:cNvSpPr/>
      </xdr:nvSpPr>
      <xdr:spPr>
        <a:xfrm>
          <a:off x="0" y="262318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0</xdr:colOff>
      <xdr:row>148</xdr:row>
      <xdr:rowOff>104775</xdr:rowOff>
    </xdr:to>
    <xdr:sp>
      <xdr:nvSpPr>
        <xdr:cNvPr id="3217" name="Host Control  145"/>
        <xdr:cNvSpPr/>
      </xdr:nvSpPr>
      <xdr:spPr>
        <a:xfrm>
          <a:off x="0" y="264128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0</xdr:colOff>
      <xdr:row>149</xdr:row>
      <xdr:rowOff>104775</xdr:rowOff>
    </xdr:to>
    <xdr:sp>
      <xdr:nvSpPr>
        <xdr:cNvPr id="3218" name="Host Control  146"/>
        <xdr:cNvSpPr/>
      </xdr:nvSpPr>
      <xdr:spPr>
        <a:xfrm>
          <a:off x="0" y="265938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0</xdr:colOff>
      <xdr:row>150</xdr:row>
      <xdr:rowOff>104775</xdr:rowOff>
    </xdr:to>
    <xdr:sp>
      <xdr:nvSpPr>
        <xdr:cNvPr id="3219" name="Host Control  147"/>
        <xdr:cNvSpPr/>
      </xdr:nvSpPr>
      <xdr:spPr>
        <a:xfrm>
          <a:off x="0" y="267747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0</xdr:colOff>
      <xdr:row>151</xdr:row>
      <xdr:rowOff>104775</xdr:rowOff>
    </xdr:to>
    <xdr:sp>
      <xdr:nvSpPr>
        <xdr:cNvPr id="3220" name="Host Control  148"/>
        <xdr:cNvSpPr/>
      </xdr:nvSpPr>
      <xdr:spPr>
        <a:xfrm>
          <a:off x="0" y="269557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0</xdr:colOff>
      <xdr:row>152</xdr:row>
      <xdr:rowOff>104775</xdr:rowOff>
    </xdr:to>
    <xdr:sp>
      <xdr:nvSpPr>
        <xdr:cNvPr id="3221" name="Host Control  149"/>
        <xdr:cNvSpPr/>
      </xdr:nvSpPr>
      <xdr:spPr>
        <a:xfrm>
          <a:off x="0" y="271367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0</xdr:colOff>
      <xdr:row>153</xdr:row>
      <xdr:rowOff>104775</xdr:rowOff>
    </xdr:to>
    <xdr:sp>
      <xdr:nvSpPr>
        <xdr:cNvPr id="3222" name="Host Control  150"/>
        <xdr:cNvSpPr/>
      </xdr:nvSpPr>
      <xdr:spPr>
        <a:xfrm>
          <a:off x="0" y="273177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0</xdr:colOff>
      <xdr:row>154</xdr:row>
      <xdr:rowOff>104775</xdr:rowOff>
    </xdr:to>
    <xdr:sp>
      <xdr:nvSpPr>
        <xdr:cNvPr id="3223" name="Host Control  151"/>
        <xdr:cNvSpPr/>
      </xdr:nvSpPr>
      <xdr:spPr>
        <a:xfrm>
          <a:off x="0" y="274986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0</xdr:colOff>
      <xdr:row>155</xdr:row>
      <xdr:rowOff>104775</xdr:rowOff>
    </xdr:to>
    <xdr:sp>
      <xdr:nvSpPr>
        <xdr:cNvPr id="3224" name="Host Control  152"/>
        <xdr:cNvSpPr/>
      </xdr:nvSpPr>
      <xdr:spPr>
        <a:xfrm>
          <a:off x="0" y="276796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0</xdr:colOff>
      <xdr:row>156</xdr:row>
      <xdr:rowOff>104775</xdr:rowOff>
    </xdr:to>
    <xdr:sp>
      <xdr:nvSpPr>
        <xdr:cNvPr id="3225" name="Host Control  153"/>
        <xdr:cNvSpPr/>
      </xdr:nvSpPr>
      <xdr:spPr>
        <a:xfrm>
          <a:off x="0" y="278606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0</xdr:colOff>
      <xdr:row>157</xdr:row>
      <xdr:rowOff>104775</xdr:rowOff>
    </xdr:to>
    <xdr:sp>
      <xdr:nvSpPr>
        <xdr:cNvPr id="3226" name="Host Control  154"/>
        <xdr:cNvSpPr/>
      </xdr:nvSpPr>
      <xdr:spPr>
        <a:xfrm>
          <a:off x="0" y="280416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0</xdr:colOff>
      <xdr:row>158</xdr:row>
      <xdr:rowOff>104775</xdr:rowOff>
    </xdr:to>
    <xdr:sp>
      <xdr:nvSpPr>
        <xdr:cNvPr id="3227" name="Host Control  155"/>
        <xdr:cNvSpPr/>
      </xdr:nvSpPr>
      <xdr:spPr>
        <a:xfrm>
          <a:off x="0" y="282225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0</xdr:colOff>
      <xdr:row>160</xdr:row>
      <xdr:rowOff>76200</xdr:rowOff>
    </xdr:to>
    <xdr:sp>
      <xdr:nvSpPr>
        <xdr:cNvPr id="3228" name="Host Control  156"/>
        <xdr:cNvSpPr/>
      </xdr:nvSpPr>
      <xdr:spPr>
        <a:xfrm>
          <a:off x="0" y="2840355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0</xdr:colOff>
      <xdr:row>160</xdr:row>
      <xdr:rowOff>104775</xdr:rowOff>
    </xdr:to>
    <xdr:sp>
      <xdr:nvSpPr>
        <xdr:cNvPr id="3229" name="Host Control  157"/>
        <xdr:cNvSpPr/>
      </xdr:nvSpPr>
      <xdr:spPr>
        <a:xfrm>
          <a:off x="0" y="285845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0</xdr:colOff>
      <xdr:row>162</xdr:row>
      <xdr:rowOff>76200</xdr:rowOff>
    </xdr:to>
    <xdr:sp>
      <xdr:nvSpPr>
        <xdr:cNvPr id="3230" name="Host Control  158"/>
        <xdr:cNvSpPr/>
      </xdr:nvSpPr>
      <xdr:spPr>
        <a:xfrm>
          <a:off x="0" y="2876550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0</xdr:colOff>
      <xdr:row>162</xdr:row>
      <xdr:rowOff>104775</xdr:rowOff>
    </xdr:to>
    <xdr:sp>
      <xdr:nvSpPr>
        <xdr:cNvPr id="3231" name="Host Control  159"/>
        <xdr:cNvSpPr/>
      </xdr:nvSpPr>
      <xdr:spPr>
        <a:xfrm>
          <a:off x="0" y="289464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0</xdr:colOff>
      <xdr:row>163</xdr:row>
      <xdr:rowOff>104775</xdr:rowOff>
    </xdr:to>
    <xdr:sp>
      <xdr:nvSpPr>
        <xdr:cNvPr id="3232" name="Host Control  160"/>
        <xdr:cNvSpPr/>
      </xdr:nvSpPr>
      <xdr:spPr>
        <a:xfrm>
          <a:off x="0" y="291274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0</xdr:colOff>
      <xdr:row>164</xdr:row>
      <xdr:rowOff>104775</xdr:rowOff>
    </xdr:to>
    <xdr:sp>
      <xdr:nvSpPr>
        <xdr:cNvPr id="3233" name="Host Control  161"/>
        <xdr:cNvSpPr/>
      </xdr:nvSpPr>
      <xdr:spPr>
        <a:xfrm>
          <a:off x="0" y="293084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0</xdr:colOff>
      <xdr:row>165</xdr:row>
      <xdr:rowOff>104775</xdr:rowOff>
    </xdr:to>
    <xdr:sp>
      <xdr:nvSpPr>
        <xdr:cNvPr id="3234" name="Host Control  162"/>
        <xdr:cNvSpPr/>
      </xdr:nvSpPr>
      <xdr:spPr>
        <a:xfrm>
          <a:off x="0" y="294894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0</xdr:colOff>
      <xdr:row>166</xdr:row>
      <xdr:rowOff>104775</xdr:rowOff>
    </xdr:to>
    <xdr:sp>
      <xdr:nvSpPr>
        <xdr:cNvPr id="3235" name="Host Control  163"/>
        <xdr:cNvSpPr/>
      </xdr:nvSpPr>
      <xdr:spPr>
        <a:xfrm>
          <a:off x="0" y="296703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0</xdr:colOff>
      <xdr:row>168</xdr:row>
      <xdr:rowOff>76200</xdr:rowOff>
    </xdr:to>
    <xdr:sp>
      <xdr:nvSpPr>
        <xdr:cNvPr id="3236" name="Host Control  164"/>
        <xdr:cNvSpPr/>
      </xdr:nvSpPr>
      <xdr:spPr>
        <a:xfrm>
          <a:off x="0" y="2985135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0</xdr:colOff>
      <xdr:row>168</xdr:row>
      <xdr:rowOff>104775</xdr:rowOff>
    </xdr:to>
    <xdr:sp>
      <xdr:nvSpPr>
        <xdr:cNvPr id="3237" name="Host Control  165"/>
        <xdr:cNvSpPr/>
      </xdr:nvSpPr>
      <xdr:spPr>
        <a:xfrm>
          <a:off x="0" y="300323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0</xdr:colOff>
      <xdr:row>169</xdr:row>
      <xdr:rowOff>104775</xdr:rowOff>
    </xdr:to>
    <xdr:sp>
      <xdr:nvSpPr>
        <xdr:cNvPr id="3238" name="Host Control  166"/>
        <xdr:cNvSpPr/>
      </xdr:nvSpPr>
      <xdr:spPr>
        <a:xfrm>
          <a:off x="0" y="302133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0</xdr:colOff>
      <xdr:row>170</xdr:row>
      <xdr:rowOff>104775</xdr:rowOff>
    </xdr:to>
    <xdr:sp>
      <xdr:nvSpPr>
        <xdr:cNvPr id="3239" name="Host Control  167"/>
        <xdr:cNvSpPr/>
      </xdr:nvSpPr>
      <xdr:spPr>
        <a:xfrm>
          <a:off x="0" y="303942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0</xdr:colOff>
      <xdr:row>171</xdr:row>
      <xdr:rowOff>104775</xdr:rowOff>
    </xdr:to>
    <xdr:sp>
      <xdr:nvSpPr>
        <xdr:cNvPr id="3240" name="Host Control  168"/>
        <xdr:cNvSpPr/>
      </xdr:nvSpPr>
      <xdr:spPr>
        <a:xfrm>
          <a:off x="0" y="305752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0</xdr:colOff>
      <xdr:row>173</xdr:row>
      <xdr:rowOff>95250</xdr:rowOff>
    </xdr:to>
    <xdr:sp>
      <xdr:nvSpPr>
        <xdr:cNvPr id="3241" name="Host Control  169"/>
        <xdr:cNvSpPr/>
      </xdr:nvSpPr>
      <xdr:spPr>
        <a:xfrm>
          <a:off x="0" y="30756225"/>
          <a:ext cx="685800" cy="6381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0</xdr:colOff>
      <xdr:row>173</xdr:row>
      <xdr:rowOff>104775</xdr:rowOff>
    </xdr:to>
    <xdr:sp>
      <xdr:nvSpPr>
        <xdr:cNvPr id="3242" name="Host Control  170"/>
        <xdr:cNvSpPr/>
      </xdr:nvSpPr>
      <xdr:spPr>
        <a:xfrm>
          <a:off x="0" y="309372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0</xdr:colOff>
      <xdr:row>174</xdr:row>
      <xdr:rowOff>104775</xdr:rowOff>
    </xdr:to>
    <xdr:sp>
      <xdr:nvSpPr>
        <xdr:cNvPr id="3243" name="Host Control  171"/>
        <xdr:cNvSpPr/>
      </xdr:nvSpPr>
      <xdr:spPr>
        <a:xfrm>
          <a:off x="0" y="311181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0</xdr:colOff>
      <xdr:row>175</xdr:row>
      <xdr:rowOff>104775</xdr:rowOff>
    </xdr:to>
    <xdr:sp>
      <xdr:nvSpPr>
        <xdr:cNvPr id="3244" name="Host Control  172"/>
        <xdr:cNvSpPr/>
      </xdr:nvSpPr>
      <xdr:spPr>
        <a:xfrm>
          <a:off x="0" y="312991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0</xdr:colOff>
      <xdr:row>176</xdr:row>
      <xdr:rowOff>104775</xdr:rowOff>
    </xdr:to>
    <xdr:sp>
      <xdr:nvSpPr>
        <xdr:cNvPr id="3245" name="Host Control  173"/>
        <xdr:cNvSpPr/>
      </xdr:nvSpPr>
      <xdr:spPr>
        <a:xfrm>
          <a:off x="0" y="314801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0</xdr:colOff>
      <xdr:row>177</xdr:row>
      <xdr:rowOff>104775</xdr:rowOff>
    </xdr:to>
    <xdr:sp>
      <xdr:nvSpPr>
        <xdr:cNvPr id="3246" name="Host Control  174"/>
        <xdr:cNvSpPr/>
      </xdr:nvSpPr>
      <xdr:spPr>
        <a:xfrm>
          <a:off x="0" y="316611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0</xdr:colOff>
      <xdr:row>178</xdr:row>
      <xdr:rowOff>104775</xdr:rowOff>
    </xdr:to>
    <xdr:sp>
      <xdr:nvSpPr>
        <xdr:cNvPr id="3247" name="Host Control  175"/>
        <xdr:cNvSpPr/>
      </xdr:nvSpPr>
      <xdr:spPr>
        <a:xfrm>
          <a:off x="0" y="318420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0</xdr:colOff>
      <xdr:row>179</xdr:row>
      <xdr:rowOff>104775</xdr:rowOff>
    </xdr:to>
    <xdr:sp>
      <xdr:nvSpPr>
        <xdr:cNvPr id="3248" name="Host Control  176"/>
        <xdr:cNvSpPr/>
      </xdr:nvSpPr>
      <xdr:spPr>
        <a:xfrm>
          <a:off x="0" y="320230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0</xdr:colOff>
      <xdr:row>180</xdr:row>
      <xdr:rowOff>104775</xdr:rowOff>
    </xdr:to>
    <xdr:sp>
      <xdr:nvSpPr>
        <xdr:cNvPr id="3249" name="Host Control  177"/>
        <xdr:cNvSpPr/>
      </xdr:nvSpPr>
      <xdr:spPr>
        <a:xfrm>
          <a:off x="0" y="322040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0</xdr:colOff>
      <xdr:row>181</xdr:row>
      <xdr:rowOff>104775</xdr:rowOff>
    </xdr:to>
    <xdr:sp>
      <xdr:nvSpPr>
        <xdr:cNvPr id="3250" name="Host Control  178"/>
        <xdr:cNvSpPr/>
      </xdr:nvSpPr>
      <xdr:spPr>
        <a:xfrm>
          <a:off x="0" y="323850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0</xdr:colOff>
      <xdr:row>182</xdr:row>
      <xdr:rowOff>104775</xdr:rowOff>
    </xdr:to>
    <xdr:sp>
      <xdr:nvSpPr>
        <xdr:cNvPr id="3251" name="Host Control  179"/>
        <xdr:cNvSpPr/>
      </xdr:nvSpPr>
      <xdr:spPr>
        <a:xfrm>
          <a:off x="0" y="325659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0</xdr:colOff>
      <xdr:row>183</xdr:row>
      <xdr:rowOff>104775</xdr:rowOff>
    </xdr:to>
    <xdr:sp>
      <xdr:nvSpPr>
        <xdr:cNvPr id="3252" name="Host Control  180"/>
        <xdr:cNvSpPr/>
      </xdr:nvSpPr>
      <xdr:spPr>
        <a:xfrm>
          <a:off x="0" y="327469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0</xdr:colOff>
      <xdr:row>184</xdr:row>
      <xdr:rowOff>104775</xdr:rowOff>
    </xdr:to>
    <xdr:sp>
      <xdr:nvSpPr>
        <xdr:cNvPr id="3253" name="Host Control  181"/>
        <xdr:cNvSpPr/>
      </xdr:nvSpPr>
      <xdr:spPr>
        <a:xfrm>
          <a:off x="0" y="329279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0</xdr:colOff>
      <xdr:row>185</xdr:row>
      <xdr:rowOff>104775</xdr:rowOff>
    </xdr:to>
    <xdr:sp>
      <xdr:nvSpPr>
        <xdr:cNvPr id="3254" name="Host Control  182"/>
        <xdr:cNvSpPr/>
      </xdr:nvSpPr>
      <xdr:spPr>
        <a:xfrm>
          <a:off x="0" y="331089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0</xdr:colOff>
      <xdr:row>186</xdr:row>
      <xdr:rowOff>104775</xdr:rowOff>
    </xdr:to>
    <xdr:sp>
      <xdr:nvSpPr>
        <xdr:cNvPr id="3255" name="Host Control  183"/>
        <xdr:cNvSpPr/>
      </xdr:nvSpPr>
      <xdr:spPr>
        <a:xfrm>
          <a:off x="0" y="332898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0</xdr:colOff>
      <xdr:row>187</xdr:row>
      <xdr:rowOff>104775</xdr:rowOff>
    </xdr:to>
    <xdr:sp>
      <xdr:nvSpPr>
        <xdr:cNvPr id="3256" name="Host Control  184"/>
        <xdr:cNvSpPr/>
      </xdr:nvSpPr>
      <xdr:spPr>
        <a:xfrm>
          <a:off x="0" y="334708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0</xdr:colOff>
      <xdr:row>188</xdr:row>
      <xdr:rowOff>104775</xdr:rowOff>
    </xdr:to>
    <xdr:sp>
      <xdr:nvSpPr>
        <xdr:cNvPr id="3257" name="Host Control  185"/>
        <xdr:cNvSpPr/>
      </xdr:nvSpPr>
      <xdr:spPr>
        <a:xfrm>
          <a:off x="0" y="336518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0</xdr:colOff>
      <xdr:row>189</xdr:row>
      <xdr:rowOff>104775</xdr:rowOff>
    </xdr:to>
    <xdr:sp>
      <xdr:nvSpPr>
        <xdr:cNvPr id="3258" name="Host Control  186"/>
        <xdr:cNvSpPr/>
      </xdr:nvSpPr>
      <xdr:spPr>
        <a:xfrm>
          <a:off x="0" y="338328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0</xdr:colOff>
      <xdr:row>190</xdr:row>
      <xdr:rowOff>104775</xdr:rowOff>
    </xdr:to>
    <xdr:sp>
      <xdr:nvSpPr>
        <xdr:cNvPr id="3259" name="Host Control  187"/>
        <xdr:cNvSpPr/>
      </xdr:nvSpPr>
      <xdr:spPr>
        <a:xfrm>
          <a:off x="0" y="340137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1</xdr:col>
      <xdr:colOff>0</xdr:colOff>
      <xdr:row>191</xdr:row>
      <xdr:rowOff>104775</xdr:rowOff>
    </xdr:to>
    <xdr:sp>
      <xdr:nvSpPr>
        <xdr:cNvPr id="3260" name="Host Control  188"/>
        <xdr:cNvSpPr/>
      </xdr:nvSpPr>
      <xdr:spPr>
        <a:xfrm>
          <a:off x="0" y="341947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0</xdr:colOff>
      <xdr:row>192</xdr:row>
      <xdr:rowOff>104775</xdr:rowOff>
    </xdr:to>
    <xdr:sp>
      <xdr:nvSpPr>
        <xdr:cNvPr id="3261" name="Host Control  189"/>
        <xdr:cNvSpPr/>
      </xdr:nvSpPr>
      <xdr:spPr>
        <a:xfrm>
          <a:off x="0" y="343757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0</xdr:colOff>
      <xdr:row>193</xdr:row>
      <xdr:rowOff>104775</xdr:rowOff>
    </xdr:to>
    <xdr:sp>
      <xdr:nvSpPr>
        <xdr:cNvPr id="3262" name="Host Control  190"/>
        <xdr:cNvSpPr/>
      </xdr:nvSpPr>
      <xdr:spPr>
        <a:xfrm>
          <a:off x="0" y="345567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0</xdr:colOff>
      <xdr:row>194</xdr:row>
      <xdr:rowOff>104775</xdr:rowOff>
    </xdr:to>
    <xdr:sp>
      <xdr:nvSpPr>
        <xdr:cNvPr id="3263" name="Host Control  191"/>
        <xdr:cNvSpPr/>
      </xdr:nvSpPr>
      <xdr:spPr>
        <a:xfrm>
          <a:off x="0" y="347376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193</xdr:row>
      <xdr:rowOff>0</xdr:rowOff>
    </xdr:from>
    <xdr:to>
      <xdr:col>1</xdr:col>
      <xdr:colOff>0</xdr:colOff>
      <xdr:row>195</xdr:row>
      <xdr:rowOff>104775</xdr:rowOff>
    </xdr:to>
    <xdr:sp>
      <xdr:nvSpPr>
        <xdr:cNvPr id="3264" name="Host Control  192"/>
        <xdr:cNvSpPr/>
      </xdr:nvSpPr>
      <xdr:spPr>
        <a:xfrm>
          <a:off x="0" y="349186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194</xdr:row>
      <xdr:rowOff>0</xdr:rowOff>
    </xdr:from>
    <xdr:to>
      <xdr:col>1</xdr:col>
      <xdr:colOff>0</xdr:colOff>
      <xdr:row>196</xdr:row>
      <xdr:rowOff>104775</xdr:rowOff>
    </xdr:to>
    <xdr:sp>
      <xdr:nvSpPr>
        <xdr:cNvPr id="3265" name="Host Control  193"/>
        <xdr:cNvSpPr/>
      </xdr:nvSpPr>
      <xdr:spPr>
        <a:xfrm>
          <a:off x="0" y="350996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1</xdr:col>
      <xdr:colOff>0</xdr:colOff>
      <xdr:row>198</xdr:row>
      <xdr:rowOff>76200</xdr:rowOff>
    </xdr:to>
    <xdr:sp>
      <xdr:nvSpPr>
        <xdr:cNvPr id="3266" name="Host Control  194"/>
        <xdr:cNvSpPr/>
      </xdr:nvSpPr>
      <xdr:spPr>
        <a:xfrm>
          <a:off x="0" y="3528060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1</xdr:col>
      <xdr:colOff>0</xdr:colOff>
      <xdr:row>199</xdr:row>
      <xdr:rowOff>76200</xdr:rowOff>
    </xdr:to>
    <xdr:sp>
      <xdr:nvSpPr>
        <xdr:cNvPr id="3267" name="Host Control  195"/>
        <xdr:cNvSpPr/>
      </xdr:nvSpPr>
      <xdr:spPr>
        <a:xfrm>
          <a:off x="0" y="3546157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197</xdr:row>
      <xdr:rowOff>0</xdr:rowOff>
    </xdr:from>
    <xdr:to>
      <xdr:col>1</xdr:col>
      <xdr:colOff>0</xdr:colOff>
      <xdr:row>200</xdr:row>
      <xdr:rowOff>85725</xdr:rowOff>
    </xdr:to>
    <xdr:sp>
      <xdr:nvSpPr>
        <xdr:cNvPr id="3268" name="Host Control  196"/>
        <xdr:cNvSpPr/>
      </xdr:nvSpPr>
      <xdr:spPr>
        <a:xfrm>
          <a:off x="0" y="35642550"/>
          <a:ext cx="685800" cy="6286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198</xdr:row>
      <xdr:rowOff>0</xdr:rowOff>
    </xdr:from>
    <xdr:to>
      <xdr:col>1</xdr:col>
      <xdr:colOff>0</xdr:colOff>
      <xdr:row>200</xdr:row>
      <xdr:rowOff>104775</xdr:rowOff>
    </xdr:to>
    <xdr:sp>
      <xdr:nvSpPr>
        <xdr:cNvPr id="3269" name="Host Control  197"/>
        <xdr:cNvSpPr/>
      </xdr:nvSpPr>
      <xdr:spPr>
        <a:xfrm>
          <a:off x="0" y="358235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199</xdr:row>
      <xdr:rowOff>0</xdr:rowOff>
    </xdr:from>
    <xdr:to>
      <xdr:col>1</xdr:col>
      <xdr:colOff>0</xdr:colOff>
      <xdr:row>201</xdr:row>
      <xdr:rowOff>104775</xdr:rowOff>
    </xdr:to>
    <xdr:sp>
      <xdr:nvSpPr>
        <xdr:cNvPr id="3270" name="Host Control  198"/>
        <xdr:cNvSpPr/>
      </xdr:nvSpPr>
      <xdr:spPr>
        <a:xfrm>
          <a:off x="0" y="360045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1</xdr:col>
      <xdr:colOff>0</xdr:colOff>
      <xdr:row>202</xdr:row>
      <xdr:rowOff>104775</xdr:rowOff>
    </xdr:to>
    <xdr:sp>
      <xdr:nvSpPr>
        <xdr:cNvPr id="3271" name="Host Control  199"/>
        <xdr:cNvSpPr/>
      </xdr:nvSpPr>
      <xdr:spPr>
        <a:xfrm>
          <a:off x="0" y="361854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201</xdr:row>
      <xdr:rowOff>0</xdr:rowOff>
    </xdr:from>
    <xdr:to>
      <xdr:col>1</xdr:col>
      <xdr:colOff>0</xdr:colOff>
      <xdr:row>204</xdr:row>
      <xdr:rowOff>76200</xdr:rowOff>
    </xdr:to>
    <xdr:sp>
      <xdr:nvSpPr>
        <xdr:cNvPr id="3272" name="Host Control  200"/>
        <xdr:cNvSpPr/>
      </xdr:nvSpPr>
      <xdr:spPr>
        <a:xfrm>
          <a:off x="0" y="3636645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202</xdr:row>
      <xdr:rowOff>0</xdr:rowOff>
    </xdr:from>
    <xdr:to>
      <xdr:col>1</xdr:col>
      <xdr:colOff>0</xdr:colOff>
      <xdr:row>204</xdr:row>
      <xdr:rowOff>104775</xdr:rowOff>
    </xdr:to>
    <xdr:sp>
      <xdr:nvSpPr>
        <xdr:cNvPr id="3273" name="Host Control  201"/>
        <xdr:cNvSpPr/>
      </xdr:nvSpPr>
      <xdr:spPr>
        <a:xfrm>
          <a:off x="0" y="365474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1</xdr:col>
      <xdr:colOff>0</xdr:colOff>
      <xdr:row>206</xdr:row>
      <xdr:rowOff>76200</xdr:rowOff>
    </xdr:to>
    <xdr:sp>
      <xdr:nvSpPr>
        <xdr:cNvPr id="3274" name="Host Control  202"/>
        <xdr:cNvSpPr/>
      </xdr:nvSpPr>
      <xdr:spPr>
        <a:xfrm>
          <a:off x="0" y="3672840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204</xdr:row>
      <xdr:rowOff>0</xdr:rowOff>
    </xdr:from>
    <xdr:to>
      <xdr:col>1</xdr:col>
      <xdr:colOff>0</xdr:colOff>
      <xdr:row>207</xdr:row>
      <xdr:rowOff>76200</xdr:rowOff>
    </xdr:to>
    <xdr:sp>
      <xdr:nvSpPr>
        <xdr:cNvPr id="3275" name="Host Control  203"/>
        <xdr:cNvSpPr/>
      </xdr:nvSpPr>
      <xdr:spPr>
        <a:xfrm>
          <a:off x="0" y="3690937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1</xdr:col>
      <xdr:colOff>0</xdr:colOff>
      <xdr:row>207</xdr:row>
      <xdr:rowOff>104775</xdr:rowOff>
    </xdr:to>
    <xdr:sp>
      <xdr:nvSpPr>
        <xdr:cNvPr id="3276" name="Host Control  204"/>
        <xdr:cNvSpPr/>
      </xdr:nvSpPr>
      <xdr:spPr>
        <a:xfrm>
          <a:off x="0" y="370903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206</xdr:row>
      <xdr:rowOff>0</xdr:rowOff>
    </xdr:from>
    <xdr:to>
      <xdr:col>1</xdr:col>
      <xdr:colOff>0</xdr:colOff>
      <xdr:row>209</xdr:row>
      <xdr:rowOff>76200</xdr:rowOff>
    </xdr:to>
    <xdr:sp>
      <xdr:nvSpPr>
        <xdr:cNvPr id="3277" name="Host Control  205"/>
        <xdr:cNvSpPr/>
      </xdr:nvSpPr>
      <xdr:spPr>
        <a:xfrm>
          <a:off x="0" y="3727132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207</xdr:row>
      <xdr:rowOff>0</xdr:rowOff>
    </xdr:from>
    <xdr:to>
      <xdr:col>1</xdr:col>
      <xdr:colOff>0</xdr:colOff>
      <xdr:row>209</xdr:row>
      <xdr:rowOff>104775</xdr:rowOff>
    </xdr:to>
    <xdr:sp>
      <xdr:nvSpPr>
        <xdr:cNvPr id="3278" name="Host Control  206"/>
        <xdr:cNvSpPr/>
      </xdr:nvSpPr>
      <xdr:spPr>
        <a:xfrm>
          <a:off x="0" y="374523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208</xdr:row>
      <xdr:rowOff>0</xdr:rowOff>
    </xdr:from>
    <xdr:to>
      <xdr:col>1</xdr:col>
      <xdr:colOff>0</xdr:colOff>
      <xdr:row>210</xdr:row>
      <xdr:rowOff>104775</xdr:rowOff>
    </xdr:to>
    <xdr:sp>
      <xdr:nvSpPr>
        <xdr:cNvPr id="3279" name="Host Control  207"/>
        <xdr:cNvSpPr/>
      </xdr:nvSpPr>
      <xdr:spPr>
        <a:xfrm>
          <a:off x="0" y="376332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209</xdr:row>
      <xdr:rowOff>0</xdr:rowOff>
    </xdr:from>
    <xdr:to>
      <xdr:col>1</xdr:col>
      <xdr:colOff>0</xdr:colOff>
      <xdr:row>211</xdr:row>
      <xdr:rowOff>104775</xdr:rowOff>
    </xdr:to>
    <xdr:sp>
      <xdr:nvSpPr>
        <xdr:cNvPr id="3280" name="Host Control  208"/>
        <xdr:cNvSpPr/>
      </xdr:nvSpPr>
      <xdr:spPr>
        <a:xfrm>
          <a:off x="0" y="378142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210</xdr:row>
      <xdr:rowOff>0</xdr:rowOff>
    </xdr:from>
    <xdr:to>
      <xdr:col>1</xdr:col>
      <xdr:colOff>0</xdr:colOff>
      <xdr:row>212</xdr:row>
      <xdr:rowOff>104775</xdr:rowOff>
    </xdr:to>
    <xdr:sp>
      <xdr:nvSpPr>
        <xdr:cNvPr id="3281" name="Host Control  209"/>
        <xdr:cNvSpPr/>
      </xdr:nvSpPr>
      <xdr:spPr>
        <a:xfrm>
          <a:off x="0" y="379952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211</xdr:row>
      <xdr:rowOff>0</xdr:rowOff>
    </xdr:from>
    <xdr:to>
      <xdr:col>1</xdr:col>
      <xdr:colOff>0</xdr:colOff>
      <xdr:row>213</xdr:row>
      <xdr:rowOff>104775</xdr:rowOff>
    </xdr:to>
    <xdr:sp>
      <xdr:nvSpPr>
        <xdr:cNvPr id="3282" name="Host Control  210"/>
        <xdr:cNvSpPr/>
      </xdr:nvSpPr>
      <xdr:spPr>
        <a:xfrm>
          <a:off x="0" y="381762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212</xdr:row>
      <xdr:rowOff>0</xdr:rowOff>
    </xdr:from>
    <xdr:to>
      <xdr:col>1</xdr:col>
      <xdr:colOff>0</xdr:colOff>
      <xdr:row>214</xdr:row>
      <xdr:rowOff>104775</xdr:rowOff>
    </xdr:to>
    <xdr:sp>
      <xdr:nvSpPr>
        <xdr:cNvPr id="3283" name="Host Control  211"/>
        <xdr:cNvSpPr/>
      </xdr:nvSpPr>
      <xdr:spPr>
        <a:xfrm>
          <a:off x="0" y="383571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213</xdr:row>
      <xdr:rowOff>0</xdr:rowOff>
    </xdr:from>
    <xdr:to>
      <xdr:col>1</xdr:col>
      <xdr:colOff>0</xdr:colOff>
      <xdr:row>215</xdr:row>
      <xdr:rowOff>104775</xdr:rowOff>
    </xdr:to>
    <xdr:sp>
      <xdr:nvSpPr>
        <xdr:cNvPr id="3284" name="Host Control  212"/>
        <xdr:cNvSpPr/>
      </xdr:nvSpPr>
      <xdr:spPr>
        <a:xfrm>
          <a:off x="0" y="385381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214</xdr:row>
      <xdr:rowOff>0</xdr:rowOff>
    </xdr:from>
    <xdr:to>
      <xdr:col>1</xdr:col>
      <xdr:colOff>0</xdr:colOff>
      <xdr:row>216</xdr:row>
      <xdr:rowOff>104775</xdr:rowOff>
    </xdr:to>
    <xdr:sp>
      <xdr:nvSpPr>
        <xdr:cNvPr id="3285" name="Host Control  213"/>
        <xdr:cNvSpPr/>
      </xdr:nvSpPr>
      <xdr:spPr>
        <a:xfrm>
          <a:off x="0" y="387191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215</xdr:row>
      <xdr:rowOff>0</xdr:rowOff>
    </xdr:from>
    <xdr:to>
      <xdr:col>1</xdr:col>
      <xdr:colOff>0</xdr:colOff>
      <xdr:row>217</xdr:row>
      <xdr:rowOff>104775</xdr:rowOff>
    </xdr:to>
    <xdr:sp>
      <xdr:nvSpPr>
        <xdr:cNvPr id="3286" name="Host Control  214"/>
        <xdr:cNvSpPr/>
      </xdr:nvSpPr>
      <xdr:spPr>
        <a:xfrm>
          <a:off x="0" y="389001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216</xdr:row>
      <xdr:rowOff>0</xdr:rowOff>
    </xdr:from>
    <xdr:to>
      <xdr:col>1</xdr:col>
      <xdr:colOff>0</xdr:colOff>
      <xdr:row>217</xdr:row>
      <xdr:rowOff>133350</xdr:rowOff>
    </xdr:to>
    <xdr:sp>
      <xdr:nvSpPr>
        <xdr:cNvPr id="3287" name="Host Control  215"/>
        <xdr:cNvSpPr/>
      </xdr:nvSpPr>
      <xdr:spPr>
        <a:xfrm>
          <a:off x="0" y="39081075"/>
          <a:ext cx="685800" cy="3143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217</xdr:row>
      <xdr:rowOff>0</xdr:rowOff>
    </xdr:from>
    <xdr:to>
      <xdr:col>1</xdr:col>
      <xdr:colOff>0</xdr:colOff>
      <xdr:row>220</xdr:row>
      <xdr:rowOff>76200</xdr:rowOff>
    </xdr:to>
    <xdr:sp>
      <xdr:nvSpPr>
        <xdr:cNvPr id="3288" name="Host Control  216"/>
        <xdr:cNvSpPr/>
      </xdr:nvSpPr>
      <xdr:spPr>
        <a:xfrm>
          <a:off x="0" y="3926205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218</xdr:row>
      <xdr:rowOff>0</xdr:rowOff>
    </xdr:from>
    <xdr:to>
      <xdr:col>1</xdr:col>
      <xdr:colOff>0</xdr:colOff>
      <xdr:row>222</xdr:row>
      <xdr:rowOff>47625</xdr:rowOff>
    </xdr:to>
    <xdr:sp>
      <xdr:nvSpPr>
        <xdr:cNvPr id="3289" name="Host Control  217"/>
        <xdr:cNvSpPr/>
      </xdr:nvSpPr>
      <xdr:spPr>
        <a:xfrm>
          <a:off x="0" y="39443025"/>
          <a:ext cx="685800" cy="771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219</xdr:row>
      <xdr:rowOff>0</xdr:rowOff>
    </xdr:from>
    <xdr:to>
      <xdr:col>1</xdr:col>
      <xdr:colOff>0</xdr:colOff>
      <xdr:row>221</xdr:row>
      <xdr:rowOff>104775</xdr:rowOff>
    </xdr:to>
    <xdr:sp>
      <xdr:nvSpPr>
        <xdr:cNvPr id="3290" name="Host Control  218"/>
        <xdr:cNvSpPr/>
      </xdr:nvSpPr>
      <xdr:spPr>
        <a:xfrm>
          <a:off x="0" y="396240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220</xdr:row>
      <xdr:rowOff>0</xdr:rowOff>
    </xdr:from>
    <xdr:to>
      <xdr:col>1</xdr:col>
      <xdr:colOff>0</xdr:colOff>
      <xdr:row>222</xdr:row>
      <xdr:rowOff>104775</xdr:rowOff>
    </xdr:to>
    <xdr:sp>
      <xdr:nvSpPr>
        <xdr:cNvPr id="3291" name="Host Control  219"/>
        <xdr:cNvSpPr/>
      </xdr:nvSpPr>
      <xdr:spPr>
        <a:xfrm>
          <a:off x="0" y="398049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221</xdr:row>
      <xdr:rowOff>0</xdr:rowOff>
    </xdr:from>
    <xdr:to>
      <xdr:col>1</xdr:col>
      <xdr:colOff>0</xdr:colOff>
      <xdr:row>223</xdr:row>
      <xdr:rowOff>104775</xdr:rowOff>
    </xdr:to>
    <xdr:sp>
      <xdr:nvSpPr>
        <xdr:cNvPr id="3292" name="Host Control  220"/>
        <xdr:cNvSpPr/>
      </xdr:nvSpPr>
      <xdr:spPr>
        <a:xfrm>
          <a:off x="0" y="399859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222</xdr:row>
      <xdr:rowOff>0</xdr:rowOff>
    </xdr:from>
    <xdr:to>
      <xdr:col>1</xdr:col>
      <xdr:colOff>0</xdr:colOff>
      <xdr:row>224</xdr:row>
      <xdr:rowOff>104775</xdr:rowOff>
    </xdr:to>
    <xdr:sp>
      <xdr:nvSpPr>
        <xdr:cNvPr id="3293" name="Host Control  221"/>
        <xdr:cNvSpPr/>
      </xdr:nvSpPr>
      <xdr:spPr>
        <a:xfrm>
          <a:off x="0" y="401669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223</xdr:row>
      <xdr:rowOff>0</xdr:rowOff>
    </xdr:from>
    <xdr:to>
      <xdr:col>1</xdr:col>
      <xdr:colOff>0</xdr:colOff>
      <xdr:row>225</xdr:row>
      <xdr:rowOff>104775</xdr:rowOff>
    </xdr:to>
    <xdr:sp>
      <xdr:nvSpPr>
        <xdr:cNvPr id="3294" name="Host Control  222"/>
        <xdr:cNvSpPr/>
      </xdr:nvSpPr>
      <xdr:spPr>
        <a:xfrm>
          <a:off x="0" y="403479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224</xdr:row>
      <xdr:rowOff>0</xdr:rowOff>
    </xdr:from>
    <xdr:to>
      <xdr:col>1</xdr:col>
      <xdr:colOff>0</xdr:colOff>
      <xdr:row>226</xdr:row>
      <xdr:rowOff>104775</xdr:rowOff>
    </xdr:to>
    <xdr:sp>
      <xdr:nvSpPr>
        <xdr:cNvPr id="3295" name="Host Control  223"/>
        <xdr:cNvSpPr/>
      </xdr:nvSpPr>
      <xdr:spPr>
        <a:xfrm>
          <a:off x="0" y="405288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1</xdr:col>
      <xdr:colOff>0</xdr:colOff>
      <xdr:row>227</xdr:row>
      <xdr:rowOff>104775</xdr:rowOff>
    </xdr:to>
    <xdr:sp>
      <xdr:nvSpPr>
        <xdr:cNvPr id="3296" name="Host Control  224"/>
        <xdr:cNvSpPr/>
      </xdr:nvSpPr>
      <xdr:spPr>
        <a:xfrm>
          <a:off x="0" y="407098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226</xdr:row>
      <xdr:rowOff>0</xdr:rowOff>
    </xdr:from>
    <xdr:to>
      <xdr:col>1</xdr:col>
      <xdr:colOff>0</xdr:colOff>
      <xdr:row>228</xdr:row>
      <xdr:rowOff>104775</xdr:rowOff>
    </xdr:to>
    <xdr:sp>
      <xdr:nvSpPr>
        <xdr:cNvPr id="3297" name="Host Control  225"/>
        <xdr:cNvSpPr/>
      </xdr:nvSpPr>
      <xdr:spPr>
        <a:xfrm>
          <a:off x="0" y="408908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227</xdr:row>
      <xdr:rowOff>0</xdr:rowOff>
    </xdr:from>
    <xdr:to>
      <xdr:col>1</xdr:col>
      <xdr:colOff>0</xdr:colOff>
      <xdr:row>229</xdr:row>
      <xdr:rowOff>104775</xdr:rowOff>
    </xdr:to>
    <xdr:sp>
      <xdr:nvSpPr>
        <xdr:cNvPr id="3298" name="Host Control  226"/>
        <xdr:cNvSpPr/>
      </xdr:nvSpPr>
      <xdr:spPr>
        <a:xfrm>
          <a:off x="0" y="410718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228</xdr:row>
      <xdr:rowOff>0</xdr:rowOff>
    </xdr:from>
    <xdr:to>
      <xdr:col>1</xdr:col>
      <xdr:colOff>0</xdr:colOff>
      <xdr:row>230</xdr:row>
      <xdr:rowOff>104775</xdr:rowOff>
    </xdr:to>
    <xdr:sp>
      <xdr:nvSpPr>
        <xdr:cNvPr id="3299" name="Host Control  227"/>
        <xdr:cNvSpPr/>
      </xdr:nvSpPr>
      <xdr:spPr>
        <a:xfrm>
          <a:off x="0" y="412527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229</xdr:row>
      <xdr:rowOff>0</xdr:rowOff>
    </xdr:from>
    <xdr:to>
      <xdr:col>1</xdr:col>
      <xdr:colOff>0</xdr:colOff>
      <xdr:row>231</xdr:row>
      <xdr:rowOff>104775</xdr:rowOff>
    </xdr:to>
    <xdr:sp>
      <xdr:nvSpPr>
        <xdr:cNvPr id="3300" name="Host Control  228"/>
        <xdr:cNvSpPr/>
      </xdr:nvSpPr>
      <xdr:spPr>
        <a:xfrm>
          <a:off x="0" y="414337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230</xdr:row>
      <xdr:rowOff>0</xdr:rowOff>
    </xdr:from>
    <xdr:to>
      <xdr:col>1</xdr:col>
      <xdr:colOff>0</xdr:colOff>
      <xdr:row>232</xdr:row>
      <xdr:rowOff>104775</xdr:rowOff>
    </xdr:to>
    <xdr:sp>
      <xdr:nvSpPr>
        <xdr:cNvPr id="3301" name="Host Control  229"/>
        <xdr:cNvSpPr/>
      </xdr:nvSpPr>
      <xdr:spPr>
        <a:xfrm>
          <a:off x="0" y="416147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1</xdr:col>
      <xdr:colOff>0</xdr:colOff>
      <xdr:row>233</xdr:row>
      <xdr:rowOff>104775</xdr:rowOff>
    </xdr:to>
    <xdr:sp>
      <xdr:nvSpPr>
        <xdr:cNvPr id="3302" name="Host Control  230"/>
        <xdr:cNvSpPr/>
      </xdr:nvSpPr>
      <xdr:spPr>
        <a:xfrm>
          <a:off x="0" y="417957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232</xdr:row>
      <xdr:rowOff>0</xdr:rowOff>
    </xdr:from>
    <xdr:to>
      <xdr:col>1</xdr:col>
      <xdr:colOff>0</xdr:colOff>
      <xdr:row>235</xdr:row>
      <xdr:rowOff>76200</xdr:rowOff>
    </xdr:to>
    <xdr:sp>
      <xdr:nvSpPr>
        <xdr:cNvPr id="3303" name="Host Control  231"/>
        <xdr:cNvSpPr/>
      </xdr:nvSpPr>
      <xdr:spPr>
        <a:xfrm>
          <a:off x="0" y="4197667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233</xdr:row>
      <xdr:rowOff>0</xdr:rowOff>
    </xdr:from>
    <xdr:to>
      <xdr:col>1</xdr:col>
      <xdr:colOff>0</xdr:colOff>
      <xdr:row>235</xdr:row>
      <xdr:rowOff>104775</xdr:rowOff>
    </xdr:to>
    <xdr:sp>
      <xdr:nvSpPr>
        <xdr:cNvPr id="3304" name="Host Control  232"/>
        <xdr:cNvSpPr/>
      </xdr:nvSpPr>
      <xdr:spPr>
        <a:xfrm>
          <a:off x="0" y="421576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234</xdr:row>
      <xdr:rowOff>0</xdr:rowOff>
    </xdr:from>
    <xdr:to>
      <xdr:col>1</xdr:col>
      <xdr:colOff>0</xdr:colOff>
      <xdr:row>236</xdr:row>
      <xdr:rowOff>104775</xdr:rowOff>
    </xdr:to>
    <xdr:sp>
      <xdr:nvSpPr>
        <xdr:cNvPr id="3305" name="Host Control  233"/>
        <xdr:cNvSpPr/>
      </xdr:nvSpPr>
      <xdr:spPr>
        <a:xfrm>
          <a:off x="0" y="423386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235</xdr:row>
      <xdr:rowOff>0</xdr:rowOff>
    </xdr:from>
    <xdr:to>
      <xdr:col>1</xdr:col>
      <xdr:colOff>0</xdr:colOff>
      <xdr:row>237</xdr:row>
      <xdr:rowOff>104775</xdr:rowOff>
    </xdr:to>
    <xdr:sp>
      <xdr:nvSpPr>
        <xdr:cNvPr id="3306" name="Host Control  234"/>
        <xdr:cNvSpPr/>
      </xdr:nvSpPr>
      <xdr:spPr>
        <a:xfrm>
          <a:off x="0" y="425196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236</xdr:row>
      <xdr:rowOff>0</xdr:rowOff>
    </xdr:from>
    <xdr:to>
      <xdr:col>1</xdr:col>
      <xdr:colOff>0</xdr:colOff>
      <xdr:row>238</xdr:row>
      <xdr:rowOff>104775</xdr:rowOff>
    </xdr:to>
    <xdr:sp>
      <xdr:nvSpPr>
        <xdr:cNvPr id="3307" name="Host Control  235"/>
        <xdr:cNvSpPr/>
      </xdr:nvSpPr>
      <xdr:spPr>
        <a:xfrm>
          <a:off x="0" y="427005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237</xdr:row>
      <xdr:rowOff>0</xdr:rowOff>
    </xdr:from>
    <xdr:to>
      <xdr:col>1</xdr:col>
      <xdr:colOff>0</xdr:colOff>
      <xdr:row>239</xdr:row>
      <xdr:rowOff>104775</xdr:rowOff>
    </xdr:to>
    <xdr:sp>
      <xdr:nvSpPr>
        <xdr:cNvPr id="3308" name="Host Control  236"/>
        <xdr:cNvSpPr/>
      </xdr:nvSpPr>
      <xdr:spPr>
        <a:xfrm>
          <a:off x="0" y="428815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238</xdr:row>
      <xdr:rowOff>0</xdr:rowOff>
    </xdr:from>
    <xdr:to>
      <xdr:col>1</xdr:col>
      <xdr:colOff>0</xdr:colOff>
      <xdr:row>240</xdr:row>
      <xdr:rowOff>104775</xdr:rowOff>
    </xdr:to>
    <xdr:sp>
      <xdr:nvSpPr>
        <xdr:cNvPr id="3309" name="Host Control  237"/>
        <xdr:cNvSpPr/>
      </xdr:nvSpPr>
      <xdr:spPr>
        <a:xfrm>
          <a:off x="0" y="430625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239</xdr:row>
      <xdr:rowOff>0</xdr:rowOff>
    </xdr:from>
    <xdr:to>
      <xdr:col>1</xdr:col>
      <xdr:colOff>0</xdr:colOff>
      <xdr:row>241</xdr:row>
      <xdr:rowOff>104775</xdr:rowOff>
    </xdr:to>
    <xdr:sp>
      <xdr:nvSpPr>
        <xdr:cNvPr id="3310" name="Host Control  238"/>
        <xdr:cNvSpPr/>
      </xdr:nvSpPr>
      <xdr:spPr>
        <a:xfrm>
          <a:off x="0" y="432435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1</xdr:col>
      <xdr:colOff>0</xdr:colOff>
      <xdr:row>243</xdr:row>
      <xdr:rowOff>85725</xdr:rowOff>
    </xdr:to>
    <xdr:sp>
      <xdr:nvSpPr>
        <xdr:cNvPr id="3311" name="Host Control  239"/>
        <xdr:cNvSpPr/>
      </xdr:nvSpPr>
      <xdr:spPr>
        <a:xfrm>
          <a:off x="0" y="43424475"/>
          <a:ext cx="685800" cy="6286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241</xdr:row>
      <xdr:rowOff>0</xdr:rowOff>
    </xdr:from>
    <xdr:to>
      <xdr:col>1</xdr:col>
      <xdr:colOff>0</xdr:colOff>
      <xdr:row>243</xdr:row>
      <xdr:rowOff>104775</xdr:rowOff>
    </xdr:to>
    <xdr:sp>
      <xdr:nvSpPr>
        <xdr:cNvPr id="3312" name="Host Control  240"/>
        <xdr:cNvSpPr/>
      </xdr:nvSpPr>
      <xdr:spPr>
        <a:xfrm>
          <a:off x="0" y="436054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242</xdr:row>
      <xdr:rowOff>0</xdr:rowOff>
    </xdr:from>
    <xdr:to>
      <xdr:col>1</xdr:col>
      <xdr:colOff>0</xdr:colOff>
      <xdr:row>244</xdr:row>
      <xdr:rowOff>104775</xdr:rowOff>
    </xdr:to>
    <xdr:sp>
      <xdr:nvSpPr>
        <xdr:cNvPr id="3313" name="Host Control  241"/>
        <xdr:cNvSpPr/>
      </xdr:nvSpPr>
      <xdr:spPr>
        <a:xfrm>
          <a:off x="0" y="437864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243</xdr:row>
      <xdr:rowOff>0</xdr:rowOff>
    </xdr:from>
    <xdr:to>
      <xdr:col>1</xdr:col>
      <xdr:colOff>0</xdr:colOff>
      <xdr:row>245</xdr:row>
      <xdr:rowOff>104775</xdr:rowOff>
    </xdr:to>
    <xdr:sp>
      <xdr:nvSpPr>
        <xdr:cNvPr id="3314" name="Host Control  242"/>
        <xdr:cNvSpPr/>
      </xdr:nvSpPr>
      <xdr:spPr>
        <a:xfrm>
          <a:off x="0" y="439674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244</xdr:row>
      <xdr:rowOff>0</xdr:rowOff>
    </xdr:from>
    <xdr:to>
      <xdr:col>1</xdr:col>
      <xdr:colOff>0</xdr:colOff>
      <xdr:row>246</xdr:row>
      <xdr:rowOff>104775</xdr:rowOff>
    </xdr:to>
    <xdr:sp>
      <xdr:nvSpPr>
        <xdr:cNvPr id="3315" name="Host Control  243"/>
        <xdr:cNvSpPr/>
      </xdr:nvSpPr>
      <xdr:spPr>
        <a:xfrm>
          <a:off x="0" y="441483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245</xdr:row>
      <xdr:rowOff>0</xdr:rowOff>
    </xdr:from>
    <xdr:to>
      <xdr:col>1</xdr:col>
      <xdr:colOff>0</xdr:colOff>
      <xdr:row>248</xdr:row>
      <xdr:rowOff>76200</xdr:rowOff>
    </xdr:to>
    <xdr:sp>
      <xdr:nvSpPr>
        <xdr:cNvPr id="3316" name="Host Control  244"/>
        <xdr:cNvSpPr/>
      </xdr:nvSpPr>
      <xdr:spPr>
        <a:xfrm>
          <a:off x="0" y="4432935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246</xdr:row>
      <xdr:rowOff>0</xdr:rowOff>
    </xdr:from>
    <xdr:to>
      <xdr:col>1</xdr:col>
      <xdr:colOff>0</xdr:colOff>
      <xdr:row>249</xdr:row>
      <xdr:rowOff>85725</xdr:rowOff>
    </xdr:to>
    <xdr:sp>
      <xdr:nvSpPr>
        <xdr:cNvPr id="3317" name="Host Control  245"/>
        <xdr:cNvSpPr/>
      </xdr:nvSpPr>
      <xdr:spPr>
        <a:xfrm>
          <a:off x="0" y="44510325"/>
          <a:ext cx="685800" cy="6286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247</xdr:row>
      <xdr:rowOff>0</xdr:rowOff>
    </xdr:from>
    <xdr:to>
      <xdr:col>1</xdr:col>
      <xdr:colOff>0</xdr:colOff>
      <xdr:row>250</xdr:row>
      <xdr:rowOff>76200</xdr:rowOff>
    </xdr:to>
    <xdr:sp>
      <xdr:nvSpPr>
        <xdr:cNvPr id="3318" name="Host Control  246"/>
        <xdr:cNvSpPr/>
      </xdr:nvSpPr>
      <xdr:spPr>
        <a:xfrm>
          <a:off x="0" y="4469130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248</xdr:row>
      <xdr:rowOff>0</xdr:rowOff>
    </xdr:from>
    <xdr:to>
      <xdr:col>1</xdr:col>
      <xdr:colOff>0</xdr:colOff>
      <xdr:row>251</xdr:row>
      <xdr:rowOff>76200</xdr:rowOff>
    </xdr:to>
    <xdr:sp>
      <xdr:nvSpPr>
        <xdr:cNvPr id="3319" name="Host Control  247"/>
        <xdr:cNvSpPr/>
      </xdr:nvSpPr>
      <xdr:spPr>
        <a:xfrm>
          <a:off x="0" y="4487227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249</xdr:row>
      <xdr:rowOff>0</xdr:rowOff>
    </xdr:from>
    <xdr:to>
      <xdr:col>1</xdr:col>
      <xdr:colOff>0</xdr:colOff>
      <xdr:row>252</xdr:row>
      <xdr:rowOff>85725</xdr:rowOff>
    </xdr:to>
    <xdr:sp>
      <xdr:nvSpPr>
        <xdr:cNvPr id="3320" name="Host Control  248"/>
        <xdr:cNvSpPr/>
      </xdr:nvSpPr>
      <xdr:spPr>
        <a:xfrm>
          <a:off x="0" y="45053250"/>
          <a:ext cx="685800" cy="6286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250</xdr:row>
      <xdr:rowOff>0</xdr:rowOff>
    </xdr:from>
    <xdr:to>
      <xdr:col>1</xdr:col>
      <xdr:colOff>0</xdr:colOff>
      <xdr:row>252</xdr:row>
      <xdr:rowOff>104775</xdr:rowOff>
    </xdr:to>
    <xdr:sp>
      <xdr:nvSpPr>
        <xdr:cNvPr id="3321" name="Host Control  249"/>
        <xdr:cNvSpPr/>
      </xdr:nvSpPr>
      <xdr:spPr>
        <a:xfrm>
          <a:off x="0" y="452342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1</xdr:col>
      <xdr:colOff>0</xdr:colOff>
      <xdr:row>254</xdr:row>
      <xdr:rowOff>95250</xdr:rowOff>
    </xdr:to>
    <xdr:sp>
      <xdr:nvSpPr>
        <xdr:cNvPr id="3322" name="Host Control  250"/>
        <xdr:cNvSpPr/>
      </xdr:nvSpPr>
      <xdr:spPr>
        <a:xfrm>
          <a:off x="0" y="45415200"/>
          <a:ext cx="685800" cy="6381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1</xdr:col>
      <xdr:colOff>0</xdr:colOff>
      <xdr:row>254</xdr:row>
      <xdr:rowOff>104775</xdr:rowOff>
    </xdr:to>
    <xdr:sp>
      <xdr:nvSpPr>
        <xdr:cNvPr id="3323" name="Host Control  251"/>
        <xdr:cNvSpPr/>
      </xdr:nvSpPr>
      <xdr:spPr>
        <a:xfrm>
          <a:off x="0" y="455961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253</xdr:row>
      <xdr:rowOff>0</xdr:rowOff>
    </xdr:from>
    <xdr:to>
      <xdr:col>1</xdr:col>
      <xdr:colOff>0</xdr:colOff>
      <xdr:row>255</xdr:row>
      <xdr:rowOff>104775</xdr:rowOff>
    </xdr:to>
    <xdr:sp>
      <xdr:nvSpPr>
        <xdr:cNvPr id="3324" name="Host Control  252"/>
        <xdr:cNvSpPr/>
      </xdr:nvSpPr>
      <xdr:spPr>
        <a:xfrm>
          <a:off x="0" y="457771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254</xdr:row>
      <xdr:rowOff>0</xdr:rowOff>
    </xdr:from>
    <xdr:to>
      <xdr:col>1</xdr:col>
      <xdr:colOff>0</xdr:colOff>
      <xdr:row>256</xdr:row>
      <xdr:rowOff>104775</xdr:rowOff>
    </xdr:to>
    <xdr:sp>
      <xdr:nvSpPr>
        <xdr:cNvPr id="3325" name="Host Control  253"/>
        <xdr:cNvSpPr/>
      </xdr:nvSpPr>
      <xdr:spPr>
        <a:xfrm>
          <a:off x="0" y="459581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1</xdr:col>
      <xdr:colOff>0</xdr:colOff>
      <xdr:row>257</xdr:row>
      <xdr:rowOff>114300</xdr:rowOff>
    </xdr:to>
    <xdr:sp>
      <xdr:nvSpPr>
        <xdr:cNvPr id="3326" name="Host Control  254"/>
        <xdr:cNvSpPr/>
      </xdr:nvSpPr>
      <xdr:spPr>
        <a:xfrm>
          <a:off x="0" y="46139100"/>
          <a:ext cx="685800" cy="4762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256</xdr:row>
      <xdr:rowOff>0</xdr:rowOff>
    </xdr:from>
    <xdr:to>
      <xdr:col>1</xdr:col>
      <xdr:colOff>0</xdr:colOff>
      <xdr:row>259</xdr:row>
      <xdr:rowOff>76200</xdr:rowOff>
    </xdr:to>
    <xdr:sp>
      <xdr:nvSpPr>
        <xdr:cNvPr id="3327" name="Host Control  255"/>
        <xdr:cNvSpPr/>
      </xdr:nvSpPr>
      <xdr:spPr>
        <a:xfrm>
          <a:off x="0" y="4632007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257</xdr:row>
      <xdr:rowOff>0</xdr:rowOff>
    </xdr:from>
    <xdr:to>
      <xdr:col>1</xdr:col>
      <xdr:colOff>0</xdr:colOff>
      <xdr:row>259</xdr:row>
      <xdr:rowOff>104775</xdr:rowOff>
    </xdr:to>
    <xdr:sp>
      <xdr:nvSpPr>
        <xdr:cNvPr id="3328" name="Host Control  256"/>
        <xdr:cNvSpPr/>
      </xdr:nvSpPr>
      <xdr:spPr>
        <a:xfrm>
          <a:off x="0" y="465010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258</xdr:row>
      <xdr:rowOff>0</xdr:rowOff>
    </xdr:from>
    <xdr:to>
      <xdr:col>1</xdr:col>
      <xdr:colOff>0</xdr:colOff>
      <xdr:row>260</xdr:row>
      <xdr:rowOff>104775</xdr:rowOff>
    </xdr:to>
    <xdr:sp>
      <xdr:nvSpPr>
        <xdr:cNvPr id="3329" name="Host Control  257"/>
        <xdr:cNvSpPr/>
      </xdr:nvSpPr>
      <xdr:spPr>
        <a:xfrm>
          <a:off x="0" y="466820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1</xdr:col>
      <xdr:colOff>0</xdr:colOff>
      <xdr:row>262</xdr:row>
      <xdr:rowOff>76200</xdr:rowOff>
    </xdr:to>
    <xdr:sp>
      <xdr:nvSpPr>
        <xdr:cNvPr id="3330" name="Host Control  258"/>
        <xdr:cNvSpPr/>
      </xdr:nvSpPr>
      <xdr:spPr>
        <a:xfrm>
          <a:off x="0" y="4686300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260</xdr:row>
      <xdr:rowOff>0</xdr:rowOff>
    </xdr:from>
    <xdr:to>
      <xdr:col>1</xdr:col>
      <xdr:colOff>0</xdr:colOff>
      <xdr:row>262</xdr:row>
      <xdr:rowOff>104775</xdr:rowOff>
    </xdr:to>
    <xdr:sp>
      <xdr:nvSpPr>
        <xdr:cNvPr id="3331" name="Host Control  259"/>
        <xdr:cNvSpPr/>
      </xdr:nvSpPr>
      <xdr:spPr>
        <a:xfrm>
          <a:off x="0" y="470439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261</xdr:row>
      <xdr:rowOff>0</xdr:rowOff>
    </xdr:from>
    <xdr:to>
      <xdr:col>1</xdr:col>
      <xdr:colOff>0</xdr:colOff>
      <xdr:row>263</xdr:row>
      <xdr:rowOff>104775</xdr:rowOff>
    </xdr:to>
    <xdr:sp>
      <xdr:nvSpPr>
        <xdr:cNvPr id="3332" name="Host Control  260"/>
        <xdr:cNvSpPr/>
      </xdr:nvSpPr>
      <xdr:spPr>
        <a:xfrm>
          <a:off x="0" y="472249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262</xdr:row>
      <xdr:rowOff>0</xdr:rowOff>
    </xdr:from>
    <xdr:to>
      <xdr:col>1</xdr:col>
      <xdr:colOff>0</xdr:colOff>
      <xdr:row>264</xdr:row>
      <xdr:rowOff>104775</xdr:rowOff>
    </xdr:to>
    <xdr:sp>
      <xdr:nvSpPr>
        <xdr:cNvPr id="3333" name="Host Control  261"/>
        <xdr:cNvSpPr/>
      </xdr:nvSpPr>
      <xdr:spPr>
        <a:xfrm>
          <a:off x="0" y="474059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263</xdr:row>
      <xdr:rowOff>0</xdr:rowOff>
    </xdr:from>
    <xdr:to>
      <xdr:col>1</xdr:col>
      <xdr:colOff>0</xdr:colOff>
      <xdr:row>265</xdr:row>
      <xdr:rowOff>104775</xdr:rowOff>
    </xdr:to>
    <xdr:sp>
      <xdr:nvSpPr>
        <xdr:cNvPr id="3334" name="Host Control  262"/>
        <xdr:cNvSpPr/>
      </xdr:nvSpPr>
      <xdr:spPr>
        <a:xfrm>
          <a:off x="0" y="475869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264</xdr:row>
      <xdr:rowOff>0</xdr:rowOff>
    </xdr:from>
    <xdr:to>
      <xdr:col>1</xdr:col>
      <xdr:colOff>0</xdr:colOff>
      <xdr:row>267</xdr:row>
      <xdr:rowOff>85725</xdr:rowOff>
    </xdr:to>
    <xdr:sp>
      <xdr:nvSpPr>
        <xdr:cNvPr id="3335" name="Host Control  263"/>
        <xdr:cNvSpPr/>
      </xdr:nvSpPr>
      <xdr:spPr>
        <a:xfrm>
          <a:off x="0" y="47767875"/>
          <a:ext cx="685800" cy="6286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1</xdr:col>
      <xdr:colOff>0</xdr:colOff>
      <xdr:row>268</xdr:row>
      <xdr:rowOff>85725</xdr:rowOff>
    </xdr:to>
    <xdr:sp>
      <xdr:nvSpPr>
        <xdr:cNvPr id="3336" name="Host Control  264"/>
        <xdr:cNvSpPr/>
      </xdr:nvSpPr>
      <xdr:spPr>
        <a:xfrm>
          <a:off x="0" y="47948850"/>
          <a:ext cx="685800" cy="6286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266</xdr:row>
      <xdr:rowOff>0</xdr:rowOff>
    </xdr:from>
    <xdr:to>
      <xdr:col>1</xdr:col>
      <xdr:colOff>0</xdr:colOff>
      <xdr:row>268</xdr:row>
      <xdr:rowOff>114300</xdr:rowOff>
    </xdr:to>
    <xdr:sp>
      <xdr:nvSpPr>
        <xdr:cNvPr id="3337" name="Host Control  265"/>
        <xdr:cNvSpPr/>
      </xdr:nvSpPr>
      <xdr:spPr>
        <a:xfrm>
          <a:off x="0" y="48129825"/>
          <a:ext cx="685800" cy="4762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267</xdr:row>
      <xdr:rowOff>0</xdr:rowOff>
    </xdr:from>
    <xdr:to>
      <xdr:col>1</xdr:col>
      <xdr:colOff>0</xdr:colOff>
      <xdr:row>269</xdr:row>
      <xdr:rowOff>104775</xdr:rowOff>
    </xdr:to>
    <xdr:sp>
      <xdr:nvSpPr>
        <xdr:cNvPr id="3338" name="Host Control  266"/>
        <xdr:cNvSpPr/>
      </xdr:nvSpPr>
      <xdr:spPr>
        <a:xfrm>
          <a:off x="0" y="483108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268</xdr:row>
      <xdr:rowOff>0</xdr:rowOff>
    </xdr:from>
    <xdr:to>
      <xdr:col>1</xdr:col>
      <xdr:colOff>0</xdr:colOff>
      <xdr:row>271</xdr:row>
      <xdr:rowOff>85725</xdr:rowOff>
    </xdr:to>
    <xdr:sp>
      <xdr:nvSpPr>
        <xdr:cNvPr id="3339" name="Host Control  267"/>
        <xdr:cNvSpPr/>
      </xdr:nvSpPr>
      <xdr:spPr>
        <a:xfrm>
          <a:off x="0" y="48491775"/>
          <a:ext cx="685800" cy="6286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269</xdr:row>
      <xdr:rowOff>0</xdr:rowOff>
    </xdr:from>
    <xdr:to>
      <xdr:col>1</xdr:col>
      <xdr:colOff>0</xdr:colOff>
      <xdr:row>272</xdr:row>
      <xdr:rowOff>85725</xdr:rowOff>
    </xdr:to>
    <xdr:sp>
      <xdr:nvSpPr>
        <xdr:cNvPr id="3340" name="Host Control  268"/>
        <xdr:cNvSpPr/>
      </xdr:nvSpPr>
      <xdr:spPr>
        <a:xfrm>
          <a:off x="0" y="48672750"/>
          <a:ext cx="685800" cy="6286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270</xdr:row>
      <xdr:rowOff>0</xdr:rowOff>
    </xdr:from>
    <xdr:to>
      <xdr:col>1</xdr:col>
      <xdr:colOff>0</xdr:colOff>
      <xdr:row>272</xdr:row>
      <xdr:rowOff>104775</xdr:rowOff>
    </xdr:to>
    <xdr:sp>
      <xdr:nvSpPr>
        <xdr:cNvPr id="3341" name="Host Control  269"/>
        <xdr:cNvSpPr/>
      </xdr:nvSpPr>
      <xdr:spPr>
        <a:xfrm>
          <a:off x="0" y="488537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271</xdr:row>
      <xdr:rowOff>0</xdr:rowOff>
    </xdr:from>
    <xdr:to>
      <xdr:col>1</xdr:col>
      <xdr:colOff>0</xdr:colOff>
      <xdr:row>273</xdr:row>
      <xdr:rowOff>104775</xdr:rowOff>
    </xdr:to>
    <xdr:sp>
      <xdr:nvSpPr>
        <xdr:cNvPr id="3342" name="Host Control  270"/>
        <xdr:cNvSpPr/>
      </xdr:nvSpPr>
      <xdr:spPr>
        <a:xfrm>
          <a:off x="0" y="490347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272</xdr:row>
      <xdr:rowOff>0</xdr:rowOff>
    </xdr:from>
    <xdr:to>
      <xdr:col>1</xdr:col>
      <xdr:colOff>0</xdr:colOff>
      <xdr:row>275</xdr:row>
      <xdr:rowOff>76200</xdr:rowOff>
    </xdr:to>
    <xdr:sp>
      <xdr:nvSpPr>
        <xdr:cNvPr id="3343" name="Host Control  271"/>
        <xdr:cNvSpPr/>
      </xdr:nvSpPr>
      <xdr:spPr>
        <a:xfrm>
          <a:off x="0" y="4921567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1</xdr:col>
      <xdr:colOff>0</xdr:colOff>
      <xdr:row>275</xdr:row>
      <xdr:rowOff>104775</xdr:rowOff>
    </xdr:to>
    <xdr:sp>
      <xdr:nvSpPr>
        <xdr:cNvPr id="3344" name="Host Control  272"/>
        <xdr:cNvSpPr/>
      </xdr:nvSpPr>
      <xdr:spPr>
        <a:xfrm>
          <a:off x="0" y="493966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274</xdr:row>
      <xdr:rowOff>0</xdr:rowOff>
    </xdr:from>
    <xdr:to>
      <xdr:col>1</xdr:col>
      <xdr:colOff>0</xdr:colOff>
      <xdr:row>276</xdr:row>
      <xdr:rowOff>104775</xdr:rowOff>
    </xdr:to>
    <xdr:sp>
      <xdr:nvSpPr>
        <xdr:cNvPr id="3345" name="Host Control  273"/>
        <xdr:cNvSpPr/>
      </xdr:nvSpPr>
      <xdr:spPr>
        <a:xfrm>
          <a:off x="0" y="495776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275</xdr:row>
      <xdr:rowOff>0</xdr:rowOff>
    </xdr:from>
    <xdr:to>
      <xdr:col>1</xdr:col>
      <xdr:colOff>0</xdr:colOff>
      <xdr:row>278</xdr:row>
      <xdr:rowOff>85725</xdr:rowOff>
    </xdr:to>
    <xdr:sp>
      <xdr:nvSpPr>
        <xdr:cNvPr id="3346" name="Host Control  274"/>
        <xdr:cNvSpPr/>
      </xdr:nvSpPr>
      <xdr:spPr>
        <a:xfrm>
          <a:off x="0" y="49758600"/>
          <a:ext cx="685800" cy="6286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276</xdr:row>
      <xdr:rowOff>0</xdr:rowOff>
    </xdr:from>
    <xdr:to>
      <xdr:col>1</xdr:col>
      <xdr:colOff>0</xdr:colOff>
      <xdr:row>278</xdr:row>
      <xdr:rowOff>114300</xdr:rowOff>
    </xdr:to>
    <xdr:sp>
      <xdr:nvSpPr>
        <xdr:cNvPr id="3347" name="Host Control  275"/>
        <xdr:cNvSpPr/>
      </xdr:nvSpPr>
      <xdr:spPr>
        <a:xfrm>
          <a:off x="0" y="49939575"/>
          <a:ext cx="685800" cy="4762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277</xdr:row>
      <xdr:rowOff>0</xdr:rowOff>
    </xdr:from>
    <xdr:to>
      <xdr:col>1</xdr:col>
      <xdr:colOff>0</xdr:colOff>
      <xdr:row>280</xdr:row>
      <xdr:rowOff>76200</xdr:rowOff>
    </xdr:to>
    <xdr:sp>
      <xdr:nvSpPr>
        <xdr:cNvPr id="3348" name="Host Control  276"/>
        <xdr:cNvSpPr/>
      </xdr:nvSpPr>
      <xdr:spPr>
        <a:xfrm>
          <a:off x="0" y="5012055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278</xdr:row>
      <xdr:rowOff>0</xdr:rowOff>
    </xdr:from>
    <xdr:to>
      <xdr:col>1</xdr:col>
      <xdr:colOff>0</xdr:colOff>
      <xdr:row>280</xdr:row>
      <xdr:rowOff>104775</xdr:rowOff>
    </xdr:to>
    <xdr:sp>
      <xdr:nvSpPr>
        <xdr:cNvPr id="3349" name="Host Control  277"/>
        <xdr:cNvSpPr/>
      </xdr:nvSpPr>
      <xdr:spPr>
        <a:xfrm>
          <a:off x="0" y="503015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279</xdr:row>
      <xdr:rowOff>0</xdr:rowOff>
    </xdr:from>
    <xdr:to>
      <xdr:col>1</xdr:col>
      <xdr:colOff>0</xdr:colOff>
      <xdr:row>281</xdr:row>
      <xdr:rowOff>114300</xdr:rowOff>
    </xdr:to>
    <xdr:sp>
      <xdr:nvSpPr>
        <xdr:cNvPr id="3350" name="Host Control  278"/>
        <xdr:cNvSpPr/>
      </xdr:nvSpPr>
      <xdr:spPr>
        <a:xfrm>
          <a:off x="0" y="50482500"/>
          <a:ext cx="685800" cy="4762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1</xdr:col>
      <xdr:colOff>0</xdr:colOff>
      <xdr:row>283</xdr:row>
      <xdr:rowOff>95250</xdr:rowOff>
    </xdr:to>
    <xdr:sp>
      <xdr:nvSpPr>
        <xdr:cNvPr id="3351" name="Host Control  279"/>
        <xdr:cNvSpPr/>
      </xdr:nvSpPr>
      <xdr:spPr>
        <a:xfrm>
          <a:off x="0" y="50663475"/>
          <a:ext cx="685800" cy="6381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281</xdr:row>
      <xdr:rowOff>0</xdr:rowOff>
    </xdr:from>
    <xdr:to>
      <xdr:col>1</xdr:col>
      <xdr:colOff>0</xdr:colOff>
      <xdr:row>283</xdr:row>
      <xdr:rowOff>104775</xdr:rowOff>
    </xdr:to>
    <xdr:sp>
      <xdr:nvSpPr>
        <xdr:cNvPr id="3352" name="Host Control  280"/>
        <xdr:cNvSpPr/>
      </xdr:nvSpPr>
      <xdr:spPr>
        <a:xfrm>
          <a:off x="0" y="508444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282</xdr:row>
      <xdr:rowOff>0</xdr:rowOff>
    </xdr:from>
    <xdr:to>
      <xdr:col>1</xdr:col>
      <xdr:colOff>0</xdr:colOff>
      <xdr:row>285</xdr:row>
      <xdr:rowOff>76200</xdr:rowOff>
    </xdr:to>
    <xdr:sp>
      <xdr:nvSpPr>
        <xdr:cNvPr id="3353" name="Host Control  281"/>
        <xdr:cNvSpPr/>
      </xdr:nvSpPr>
      <xdr:spPr>
        <a:xfrm>
          <a:off x="0" y="5102542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283</xdr:row>
      <xdr:rowOff>0</xdr:rowOff>
    </xdr:from>
    <xdr:to>
      <xdr:col>1</xdr:col>
      <xdr:colOff>0</xdr:colOff>
      <xdr:row>286</xdr:row>
      <xdr:rowOff>95250</xdr:rowOff>
    </xdr:to>
    <xdr:sp>
      <xdr:nvSpPr>
        <xdr:cNvPr id="3354" name="Host Control  282"/>
        <xdr:cNvSpPr/>
      </xdr:nvSpPr>
      <xdr:spPr>
        <a:xfrm>
          <a:off x="0" y="51206400"/>
          <a:ext cx="685800" cy="6381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284</xdr:row>
      <xdr:rowOff>0</xdr:rowOff>
    </xdr:from>
    <xdr:to>
      <xdr:col>1</xdr:col>
      <xdr:colOff>0</xdr:colOff>
      <xdr:row>286</xdr:row>
      <xdr:rowOff>114300</xdr:rowOff>
    </xdr:to>
    <xdr:sp>
      <xdr:nvSpPr>
        <xdr:cNvPr id="3355" name="Host Control  283"/>
        <xdr:cNvSpPr/>
      </xdr:nvSpPr>
      <xdr:spPr>
        <a:xfrm>
          <a:off x="0" y="51387375"/>
          <a:ext cx="685800" cy="4762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285</xdr:row>
      <xdr:rowOff>0</xdr:rowOff>
    </xdr:from>
    <xdr:to>
      <xdr:col>1</xdr:col>
      <xdr:colOff>0</xdr:colOff>
      <xdr:row>288</xdr:row>
      <xdr:rowOff>85725</xdr:rowOff>
    </xdr:to>
    <xdr:sp>
      <xdr:nvSpPr>
        <xdr:cNvPr id="3356" name="Host Control  284"/>
        <xdr:cNvSpPr/>
      </xdr:nvSpPr>
      <xdr:spPr>
        <a:xfrm>
          <a:off x="0" y="51568350"/>
          <a:ext cx="685800" cy="6286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286</xdr:row>
      <xdr:rowOff>0</xdr:rowOff>
    </xdr:from>
    <xdr:to>
      <xdr:col>1</xdr:col>
      <xdr:colOff>0</xdr:colOff>
      <xdr:row>288</xdr:row>
      <xdr:rowOff>104775</xdr:rowOff>
    </xdr:to>
    <xdr:sp>
      <xdr:nvSpPr>
        <xdr:cNvPr id="3357" name="Host Control  285"/>
        <xdr:cNvSpPr/>
      </xdr:nvSpPr>
      <xdr:spPr>
        <a:xfrm>
          <a:off x="0" y="517493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287</xdr:row>
      <xdr:rowOff>0</xdr:rowOff>
    </xdr:from>
    <xdr:to>
      <xdr:col>1</xdr:col>
      <xdr:colOff>0</xdr:colOff>
      <xdr:row>289</xdr:row>
      <xdr:rowOff>104775</xdr:rowOff>
    </xdr:to>
    <xdr:sp>
      <xdr:nvSpPr>
        <xdr:cNvPr id="3358" name="Host Control  286"/>
        <xdr:cNvSpPr/>
      </xdr:nvSpPr>
      <xdr:spPr>
        <a:xfrm>
          <a:off x="0" y="519303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288</xdr:row>
      <xdr:rowOff>0</xdr:rowOff>
    </xdr:from>
    <xdr:to>
      <xdr:col>1</xdr:col>
      <xdr:colOff>0</xdr:colOff>
      <xdr:row>290</xdr:row>
      <xdr:rowOff>104775</xdr:rowOff>
    </xdr:to>
    <xdr:sp>
      <xdr:nvSpPr>
        <xdr:cNvPr id="3359" name="Host Control  287"/>
        <xdr:cNvSpPr/>
      </xdr:nvSpPr>
      <xdr:spPr>
        <a:xfrm>
          <a:off x="0" y="521112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289</xdr:row>
      <xdr:rowOff>0</xdr:rowOff>
    </xdr:from>
    <xdr:to>
      <xdr:col>1</xdr:col>
      <xdr:colOff>0</xdr:colOff>
      <xdr:row>292</xdr:row>
      <xdr:rowOff>76200</xdr:rowOff>
    </xdr:to>
    <xdr:sp>
      <xdr:nvSpPr>
        <xdr:cNvPr id="3360" name="Host Control  288"/>
        <xdr:cNvSpPr/>
      </xdr:nvSpPr>
      <xdr:spPr>
        <a:xfrm>
          <a:off x="0" y="5229225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290</xdr:row>
      <xdr:rowOff>0</xdr:rowOff>
    </xdr:from>
    <xdr:to>
      <xdr:col>1</xdr:col>
      <xdr:colOff>0</xdr:colOff>
      <xdr:row>293</xdr:row>
      <xdr:rowOff>76200</xdr:rowOff>
    </xdr:to>
    <xdr:sp>
      <xdr:nvSpPr>
        <xdr:cNvPr id="3361" name="Host Control  289"/>
        <xdr:cNvSpPr/>
      </xdr:nvSpPr>
      <xdr:spPr>
        <a:xfrm>
          <a:off x="0" y="5247322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291</xdr:row>
      <xdr:rowOff>0</xdr:rowOff>
    </xdr:from>
    <xdr:to>
      <xdr:col>1</xdr:col>
      <xdr:colOff>0</xdr:colOff>
      <xdr:row>293</xdr:row>
      <xdr:rowOff>104775</xdr:rowOff>
    </xdr:to>
    <xdr:sp>
      <xdr:nvSpPr>
        <xdr:cNvPr id="3362" name="Host Control  290"/>
        <xdr:cNvSpPr/>
      </xdr:nvSpPr>
      <xdr:spPr>
        <a:xfrm>
          <a:off x="0" y="5265420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292</xdr:row>
      <xdr:rowOff>0</xdr:rowOff>
    </xdr:from>
    <xdr:to>
      <xdr:col>1</xdr:col>
      <xdr:colOff>0</xdr:colOff>
      <xdr:row>295</xdr:row>
      <xdr:rowOff>76200</xdr:rowOff>
    </xdr:to>
    <xdr:sp>
      <xdr:nvSpPr>
        <xdr:cNvPr id="3363" name="Host Control  291"/>
        <xdr:cNvSpPr/>
      </xdr:nvSpPr>
      <xdr:spPr>
        <a:xfrm>
          <a:off x="0" y="5283517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293</xdr:row>
      <xdr:rowOff>0</xdr:rowOff>
    </xdr:from>
    <xdr:to>
      <xdr:col>1</xdr:col>
      <xdr:colOff>0</xdr:colOff>
      <xdr:row>296</xdr:row>
      <xdr:rowOff>76200</xdr:rowOff>
    </xdr:to>
    <xdr:sp>
      <xdr:nvSpPr>
        <xdr:cNvPr id="3364" name="Host Control  292"/>
        <xdr:cNvSpPr/>
      </xdr:nvSpPr>
      <xdr:spPr>
        <a:xfrm>
          <a:off x="0" y="5301615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294</xdr:row>
      <xdr:rowOff>0</xdr:rowOff>
    </xdr:from>
    <xdr:to>
      <xdr:col>1</xdr:col>
      <xdr:colOff>0</xdr:colOff>
      <xdr:row>297</xdr:row>
      <xdr:rowOff>76200</xdr:rowOff>
    </xdr:to>
    <xdr:sp>
      <xdr:nvSpPr>
        <xdr:cNvPr id="3365" name="Host Control  293"/>
        <xdr:cNvSpPr/>
      </xdr:nvSpPr>
      <xdr:spPr>
        <a:xfrm>
          <a:off x="0" y="5319712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1</xdr:col>
      <xdr:colOff>0</xdr:colOff>
      <xdr:row>298</xdr:row>
      <xdr:rowOff>76200</xdr:rowOff>
    </xdr:to>
    <xdr:sp>
      <xdr:nvSpPr>
        <xdr:cNvPr id="3366" name="Host Control  294"/>
        <xdr:cNvSpPr/>
      </xdr:nvSpPr>
      <xdr:spPr>
        <a:xfrm>
          <a:off x="0" y="5337810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296</xdr:row>
      <xdr:rowOff>0</xdr:rowOff>
    </xdr:from>
    <xdr:to>
      <xdr:col>1</xdr:col>
      <xdr:colOff>0</xdr:colOff>
      <xdr:row>298</xdr:row>
      <xdr:rowOff>104775</xdr:rowOff>
    </xdr:to>
    <xdr:sp>
      <xdr:nvSpPr>
        <xdr:cNvPr id="3367" name="Host Control  295"/>
        <xdr:cNvSpPr/>
      </xdr:nvSpPr>
      <xdr:spPr>
        <a:xfrm>
          <a:off x="0" y="535590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297</xdr:row>
      <xdr:rowOff>0</xdr:rowOff>
    </xdr:from>
    <xdr:to>
      <xdr:col>1</xdr:col>
      <xdr:colOff>0</xdr:colOff>
      <xdr:row>299</xdr:row>
      <xdr:rowOff>114300</xdr:rowOff>
    </xdr:to>
    <xdr:sp>
      <xdr:nvSpPr>
        <xdr:cNvPr id="3368" name="Host Control  296"/>
        <xdr:cNvSpPr/>
      </xdr:nvSpPr>
      <xdr:spPr>
        <a:xfrm>
          <a:off x="0" y="53740050"/>
          <a:ext cx="685800" cy="4762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298</xdr:row>
      <xdr:rowOff>0</xdr:rowOff>
    </xdr:from>
    <xdr:to>
      <xdr:col>1</xdr:col>
      <xdr:colOff>0</xdr:colOff>
      <xdr:row>300</xdr:row>
      <xdr:rowOff>104775</xdr:rowOff>
    </xdr:to>
    <xdr:sp>
      <xdr:nvSpPr>
        <xdr:cNvPr id="3369" name="Host Control  297"/>
        <xdr:cNvSpPr/>
      </xdr:nvSpPr>
      <xdr:spPr>
        <a:xfrm>
          <a:off x="0" y="539210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299</xdr:row>
      <xdr:rowOff>0</xdr:rowOff>
    </xdr:from>
    <xdr:to>
      <xdr:col>1</xdr:col>
      <xdr:colOff>0</xdr:colOff>
      <xdr:row>302</xdr:row>
      <xdr:rowOff>76200</xdr:rowOff>
    </xdr:to>
    <xdr:sp>
      <xdr:nvSpPr>
        <xdr:cNvPr id="3370" name="Host Control  298"/>
        <xdr:cNvSpPr/>
      </xdr:nvSpPr>
      <xdr:spPr>
        <a:xfrm>
          <a:off x="0" y="5410200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300</xdr:row>
      <xdr:rowOff>0</xdr:rowOff>
    </xdr:from>
    <xdr:to>
      <xdr:col>1</xdr:col>
      <xdr:colOff>0</xdr:colOff>
      <xdr:row>302</xdr:row>
      <xdr:rowOff>104775</xdr:rowOff>
    </xdr:to>
    <xdr:sp>
      <xdr:nvSpPr>
        <xdr:cNvPr id="3371" name="Host Control  299"/>
        <xdr:cNvSpPr/>
      </xdr:nvSpPr>
      <xdr:spPr>
        <a:xfrm>
          <a:off x="0" y="542829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301</xdr:row>
      <xdr:rowOff>0</xdr:rowOff>
    </xdr:from>
    <xdr:to>
      <xdr:col>1</xdr:col>
      <xdr:colOff>0</xdr:colOff>
      <xdr:row>303</xdr:row>
      <xdr:rowOff>104775</xdr:rowOff>
    </xdr:to>
    <xdr:sp>
      <xdr:nvSpPr>
        <xdr:cNvPr id="3372" name="Host Control  300"/>
        <xdr:cNvSpPr/>
      </xdr:nvSpPr>
      <xdr:spPr>
        <a:xfrm>
          <a:off x="0" y="544639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302</xdr:row>
      <xdr:rowOff>0</xdr:rowOff>
    </xdr:from>
    <xdr:to>
      <xdr:col>1</xdr:col>
      <xdr:colOff>0</xdr:colOff>
      <xdr:row>304</xdr:row>
      <xdr:rowOff>104775</xdr:rowOff>
    </xdr:to>
    <xdr:sp>
      <xdr:nvSpPr>
        <xdr:cNvPr id="3373" name="Host Control  301"/>
        <xdr:cNvSpPr/>
      </xdr:nvSpPr>
      <xdr:spPr>
        <a:xfrm>
          <a:off x="0" y="546449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303</xdr:row>
      <xdr:rowOff>0</xdr:rowOff>
    </xdr:from>
    <xdr:to>
      <xdr:col>1</xdr:col>
      <xdr:colOff>0</xdr:colOff>
      <xdr:row>306</xdr:row>
      <xdr:rowOff>85725</xdr:rowOff>
    </xdr:to>
    <xdr:sp>
      <xdr:nvSpPr>
        <xdr:cNvPr id="3374" name="Host Control  302"/>
        <xdr:cNvSpPr/>
      </xdr:nvSpPr>
      <xdr:spPr>
        <a:xfrm>
          <a:off x="0" y="54825900"/>
          <a:ext cx="685800" cy="6286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304</xdr:row>
      <xdr:rowOff>0</xdr:rowOff>
    </xdr:from>
    <xdr:to>
      <xdr:col>1</xdr:col>
      <xdr:colOff>0</xdr:colOff>
      <xdr:row>307</xdr:row>
      <xdr:rowOff>76200</xdr:rowOff>
    </xdr:to>
    <xdr:sp>
      <xdr:nvSpPr>
        <xdr:cNvPr id="3375" name="Host Control  303"/>
        <xdr:cNvSpPr/>
      </xdr:nvSpPr>
      <xdr:spPr>
        <a:xfrm>
          <a:off x="0" y="5500687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1</xdr:col>
      <xdr:colOff>0</xdr:colOff>
      <xdr:row>307</xdr:row>
      <xdr:rowOff>104775</xdr:rowOff>
    </xdr:to>
    <xdr:sp>
      <xdr:nvSpPr>
        <xdr:cNvPr id="3376" name="Host Control  304"/>
        <xdr:cNvSpPr/>
      </xdr:nvSpPr>
      <xdr:spPr>
        <a:xfrm>
          <a:off x="0" y="551878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306</xdr:row>
      <xdr:rowOff>0</xdr:rowOff>
    </xdr:from>
    <xdr:to>
      <xdr:col>1</xdr:col>
      <xdr:colOff>0</xdr:colOff>
      <xdr:row>309</xdr:row>
      <xdr:rowOff>85725</xdr:rowOff>
    </xdr:to>
    <xdr:sp>
      <xdr:nvSpPr>
        <xdr:cNvPr id="3377" name="Host Control  305"/>
        <xdr:cNvSpPr/>
      </xdr:nvSpPr>
      <xdr:spPr>
        <a:xfrm>
          <a:off x="0" y="55368825"/>
          <a:ext cx="685800" cy="6286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307</xdr:row>
      <xdr:rowOff>0</xdr:rowOff>
    </xdr:from>
    <xdr:to>
      <xdr:col>1</xdr:col>
      <xdr:colOff>0</xdr:colOff>
      <xdr:row>310</xdr:row>
      <xdr:rowOff>85725</xdr:rowOff>
    </xdr:to>
    <xdr:sp>
      <xdr:nvSpPr>
        <xdr:cNvPr id="3378" name="Host Control  306"/>
        <xdr:cNvSpPr/>
      </xdr:nvSpPr>
      <xdr:spPr>
        <a:xfrm>
          <a:off x="0" y="55549800"/>
          <a:ext cx="685800" cy="6286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1</xdr:col>
      <xdr:colOff>0</xdr:colOff>
      <xdr:row>310</xdr:row>
      <xdr:rowOff>104775</xdr:rowOff>
    </xdr:to>
    <xdr:sp>
      <xdr:nvSpPr>
        <xdr:cNvPr id="3379" name="Host Control  307"/>
        <xdr:cNvSpPr/>
      </xdr:nvSpPr>
      <xdr:spPr>
        <a:xfrm>
          <a:off x="0" y="5573077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309</xdr:row>
      <xdr:rowOff>0</xdr:rowOff>
    </xdr:from>
    <xdr:to>
      <xdr:col>1</xdr:col>
      <xdr:colOff>0</xdr:colOff>
      <xdr:row>311</xdr:row>
      <xdr:rowOff>104775</xdr:rowOff>
    </xdr:to>
    <xdr:sp>
      <xdr:nvSpPr>
        <xdr:cNvPr id="3380" name="Host Control  308"/>
        <xdr:cNvSpPr/>
      </xdr:nvSpPr>
      <xdr:spPr>
        <a:xfrm>
          <a:off x="0" y="559117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310</xdr:row>
      <xdr:rowOff>0</xdr:rowOff>
    </xdr:from>
    <xdr:to>
      <xdr:col>1</xdr:col>
      <xdr:colOff>0</xdr:colOff>
      <xdr:row>313</xdr:row>
      <xdr:rowOff>76200</xdr:rowOff>
    </xdr:to>
    <xdr:sp>
      <xdr:nvSpPr>
        <xdr:cNvPr id="3381" name="Host Control  309"/>
        <xdr:cNvSpPr/>
      </xdr:nvSpPr>
      <xdr:spPr>
        <a:xfrm>
          <a:off x="0" y="5609272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1</xdr:col>
      <xdr:colOff>0</xdr:colOff>
      <xdr:row>314</xdr:row>
      <xdr:rowOff>76200</xdr:rowOff>
    </xdr:to>
    <xdr:sp>
      <xdr:nvSpPr>
        <xdr:cNvPr id="3382" name="Host Control  310"/>
        <xdr:cNvSpPr/>
      </xdr:nvSpPr>
      <xdr:spPr>
        <a:xfrm>
          <a:off x="0" y="5627370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312</xdr:row>
      <xdr:rowOff>0</xdr:rowOff>
    </xdr:from>
    <xdr:to>
      <xdr:col>1</xdr:col>
      <xdr:colOff>0</xdr:colOff>
      <xdr:row>315</xdr:row>
      <xdr:rowOff>76200</xdr:rowOff>
    </xdr:to>
    <xdr:sp>
      <xdr:nvSpPr>
        <xdr:cNvPr id="3383" name="Host Control  311"/>
        <xdr:cNvSpPr/>
      </xdr:nvSpPr>
      <xdr:spPr>
        <a:xfrm>
          <a:off x="0" y="5645467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313</xdr:row>
      <xdr:rowOff>0</xdr:rowOff>
    </xdr:from>
    <xdr:to>
      <xdr:col>1</xdr:col>
      <xdr:colOff>0</xdr:colOff>
      <xdr:row>315</xdr:row>
      <xdr:rowOff>114300</xdr:rowOff>
    </xdr:to>
    <xdr:sp>
      <xdr:nvSpPr>
        <xdr:cNvPr id="3384" name="Host Control  312"/>
        <xdr:cNvSpPr/>
      </xdr:nvSpPr>
      <xdr:spPr>
        <a:xfrm>
          <a:off x="0" y="56635650"/>
          <a:ext cx="685800" cy="4762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314</xdr:row>
      <xdr:rowOff>0</xdr:rowOff>
    </xdr:from>
    <xdr:to>
      <xdr:col>1</xdr:col>
      <xdr:colOff>0</xdr:colOff>
      <xdr:row>317</xdr:row>
      <xdr:rowOff>76200</xdr:rowOff>
    </xdr:to>
    <xdr:sp>
      <xdr:nvSpPr>
        <xdr:cNvPr id="3385" name="Host Control  313"/>
        <xdr:cNvSpPr/>
      </xdr:nvSpPr>
      <xdr:spPr>
        <a:xfrm>
          <a:off x="0" y="5681662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315</xdr:row>
      <xdr:rowOff>0</xdr:rowOff>
    </xdr:from>
    <xdr:to>
      <xdr:col>1</xdr:col>
      <xdr:colOff>0</xdr:colOff>
      <xdr:row>318</xdr:row>
      <xdr:rowOff>76200</xdr:rowOff>
    </xdr:to>
    <xdr:sp>
      <xdr:nvSpPr>
        <xdr:cNvPr id="3386" name="Host Control  314"/>
        <xdr:cNvSpPr/>
      </xdr:nvSpPr>
      <xdr:spPr>
        <a:xfrm>
          <a:off x="0" y="56997600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316</xdr:row>
      <xdr:rowOff>0</xdr:rowOff>
    </xdr:from>
    <xdr:to>
      <xdr:col>1</xdr:col>
      <xdr:colOff>0</xdr:colOff>
      <xdr:row>319</xdr:row>
      <xdr:rowOff>76200</xdr:rowOff>
    </xdr:to>
    <xdr:sp>
      <xdr:nvSpPr>
        <xdr:cNvPr id="3387" name="Host Control  315"/>
        <xdr:cNvSpPr/>
      </xdr:nvSpPr>
      <xdr:spPr>
        <a:xfrm>
          <a:off x="0" y="57178575"/>
          <a:ext cx="685800" cy="6191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317</xdr:row>
      <xdr:rowOff>0</xdr:rowOff>
    </xdr:from>
    <xdr:to>
      <xdr:col>1</xdr:col>
      <xdr:colOff>0</xdr:colOff>
      <xdr:row>319</xdr:row>
      <xdr:rowOff>104775</xdr:rowOff>
    </xdr:to>
    <xdr:sp>
      <xdr:nvSpPr>
        <xdr:cNvPr id="3388" name="Host Control  316"/>
        <xdr:cNvSpPr/>
      </xdr:nvSpPr>
      <xdr:spPr>
        <a:xfrm>
          <a:off x="0" y="57359550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318</xdr:row>
      <xdr:rowOff>0</xdr:rowOff>
    </xdr:from>
    <xdr:to>
      <xdr:col>1</xdr:col>
      <xdr:colOff>0</xdr:colOff>
      <xdr:row>320</xdr:row>
      <xdr:rowOff>104775</xdr:rowOff>
    </xdr:to>
    <xdr:sp>
      <xdr:nvSpPr>
        <xdr:cNvPr id="3389" name="Host Control  317"/>
        <xdr:cNvSpPr/>
      </xdr:nvSpPr>
      <xdr:spPr>
        <a:xfrm>
          <a:off x="0" y="57540525"/>
          <a:ext cx="685800" cy="4667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319</xdr:row>
      <xdr:rowOff>0</xdr:rowOff>
    </xdr:from>
    <xdr:to>
      <xdr:col>1</xdr:col>
      <xdr:colOff>0</xdr:colOff>
      <xdr:row>321</xdr:row>
      <xdr:rowOff>104775</xdr:rowOff>
    </xdr:to>
    <xdr:sp>
      <xdr:nvSpPr>
        <xdr:cNvPr id="3390" name="Host Control  318"/>
        <xdr:cNvSpPr/>
      </xdr:nvSpPr>
      <xdr:spPr>
        <a:xfrm>
          <a:off x="0" y="57721500"/>
          <a:ext cx="685800" cy="4572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1</xdr:col>
      <xdr:colOff>0</xdr:colOff>
      <xdr:row>323</xdr:row>
      <xdr:rowOff>85725</xdr:rowOff>
    </xdr:to>
    <xdr:sp>
      <xdr:nvSpPr>
        <xdr:cNvPr id="3391" name="Host Control  319"/>
        <xdr:cNvSpPr/>
      </xdr:nvSpPr>
      <xdr:spPr>
        <a:xfrm>
          <a:off x="0" y="57902475"/>
          <a:ext cx="685800" cy="6000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5"/>
  <sheetViews>
    <sheetView topLeftCell="A52" workbookViewId="0">
      <selection activeCell="A53" sqref="A53:S65"/>
    </sheetView>
  </sheetViews>
  <sheetFormatPr defaultColWidth="9" defaultRowHeight="13.5"/>
  <cols>
    <col min="1" max="1" width="8.125" style="15" customWidth="1"/>
    <col min="2" max="2" width="7.375" style="15" customWidth="1"/>
    <col min="3" max="3" width="6.375" style="15" customWidth="1"/>
    <col min="4" max="4" width="5.875" style="15" customWidth="1"/>
    <col min="5" max="5" width="11.625" style="60" customWidth="1"/>
    <col min="6" max="7" width="8.375" style="15" customWidth="1"/>
    <col min="8" max="8" width="9.25" style="15" customWidth="1"/>
    <col min="9" max="9" width="8.375" style="15" customWidth="1"/>
    <col min="10" max="10" width="9.375" style="15" customWidth="1"/>
    <col min="11" max="11" width="9.375" style="60" customWidth="1"/>
    <col min="12" max="12" width="11.625" style="15" customWidth="1"/>
    <col min="13" max="14" width="8.375" style="15" customWidth="1"/>
    <col min="15" max="15" width="9.25" style="61" customWidth="1"/>
    <col min="16" max="16" width="8.375" style="15" customWidth="1"/>
    <col min="17" max="17" width="9.25" style="15" customWidth="1"/>
    <col min="18" max="19" width="8.375" style="15" customWidth="1"/>
    <col min="20" max="16384" width="9" style="15"/>
  </cols>
  <sheetData>
    <row r="1" spans="1:12">
      <c r="A1" s="18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62" t="s">
        <v>5</v>
      </c>
      <c r="G1" s="62" t="s">
        <v>6</v>
      </c>
      <c r="H1" s="18" t="s">
        <v>7</v>
      </c>
      <c r="I1" s="18" t="s">
        <v>8</v>
      </c>
      <c r="J1" s="18" t="s">
        <v>9</v>
      </c>
      <c r="K1" s="19" t="s">
        <v>10</v>
      </c>
      <c r="L1" s="18" t="s">
        <v>11</v>
      </c>
    </row>
    <row r="2" spans="1:11">
      <c r="A2" s="15" t="s">
        <v>12</v>
      </c>
      <c r="B2" s="15">
        <v>512980</v>
      </c>
      <c r="C2" s="15">
        <v>0.92</v>
      </c>
      <c r="D2" s="15">
        <v>2000</v>
      </c>
      <c r="E2" s="60">
        <f t="shared" ref="E2:E45" si="0">(H2-C2)/C2*100</f>
        <v>-4.89130434782609</v>
      </c>
      <c r="F2" s="15">
        <v>0.847</v>
      </c>
      <c r="G2" s="15">
        <v>1.01</v>
      </c>
      <c r="H2" s="15">
        <v>0.875</v>
      </c>
      <c r="I2" s="15">
        <f t="shared" ref="I2:I51" si="1">(F2+G2)/2</f>
        <v>0.9285</v>
      </c>
      <c r="J2" s="17">
        <f t="shared" ref="J2:J51" si="2">(H2-I2)</f>
        <v>-0.0535</v>
      </c>
      <c r="K2" s="67">
        <f t="shared" ref="K2:K51" si="3">J2/I2*100</f>
        <v>-5.7619816908993</v>
      </c>
    </row>
    <row r="3" spans="1:11">
      <c r="A3" s="15" t="s">
        <v>13</v>
      </c>
      <c r="B3" s="15">
        <v>515050</v>
      </c>
      <c r="E3" s="60" t="e">
        <f t="shared" si="0"/>
        <v>#DIV/0!</v>
      </c>
      <c r="F3" s="15">
        <v>1.164</v>
      </c>
      <c r="G3" s="15">
        <v>1.348</v>
      </c>
      <c r="H3" s="15">
        <v>1.172</v>
      </c>
      <c r="I3" s="15">
        <f t="shared" si="1"/>
        <v>1.256</v>
      </c>
      <c r="J3" s="17">
        <f t="shared" si="2"/>
        <v>-0.0840000000000001</v>
      </c>
      <c r="K3" s="67">
        <f t="shared" si="3"/>
        <v>-6.68789808917198</v>
      </c>
    </row>
    <row r="4" spans="1:11">
      <c r="A4" s="15" t="s">
        <v>14</v>
      </c>
      <c r="B4" s="15">
        <v>512200</v>
      </c>
      <c r="E4" s="60" t="e">
        <f t="shared" si="0"/>
        <v>#DIV/0!</v>
      </c>
      <c r="F4" s="15">
        <v>0.866</v>
      </c>
      <c r="G4" s="15">
        <v>0.988</v>
      </c>
      <c r="H4" s="15">
        <v>0.875</v>
      </c>
      <c r="I4" s="15">
        <f t="shared" si="1"/>
        <v>0.927</v>
      </c>
      <c r="J4" s="17">
        <f t="shared" si="2"/>
        <v>-0.052</v>
      </c>
      <c r="K4" s="67">
        <f t="shared" si="3"/>
        <v>-5.60949298813377</v>
      </c>
    </row>
    <row r="5" spans="1:11">
      <c r="A5" s="15" t="s">
        <v>15</v>
      </c>
      <c r="B5" s="15">
        <v>513100</v>
      </c>
      <c r="C5" s="15">
        <v>4.3</v>
      </c>
      <c r="D5" s="15">
        <v>100</v>
      </c>
      <c r="E5" s="60">
        <f t="shared" si="0"/>
        <v>0.837209302325593</v>
      </c>
      <c r="F5" s="15">
        <v>4.182</v>
      </c>
      <c r="G5" s="15">
        <v>4.858</v>
      </c>
      <c r="H5" s="15">
        <v>4.336</v>
      </c>
      <c r="I5" s="15">
        <f t="shared" si="1"/>
        <v>4.52</v>
      </c>
      <c r="J5" s="17">
        <f t="shared" si="2"/>
        <v>-0.183999999999999</v>
      </c>
      <c r="K5" s="67">
        <f t="shared" si="3"/>
        <v>-4.07079646017698</v>
      </c>
    </row>
    <row r="6" spans="1:11">
      <c r="A6" s="15" t="s">
        <v>16</v>
      </c>
      <c r="B6" s="15">
        <v>512880</v>
      </c>
      <c r="E6" s="60" t="e">
        <f t="shared" si="0"/>
        <v>#DIV/0!</v>
      </c>
      <c r="F6" s="15">
        <v>1.13</v>
      </c>
      <c r="G6" s="15">
        <v>1.288</v>
      </c>
      <c r="H6" s="15">
        <v>1.173</v>
      </c>
      <c r="I6" s="15">
        <f t="shared" si="1"/>
        <v>1.209</v>
      </c>
      <c r="J6" s="17">
        <f t="shared" si="2"/>
        <v>-0.036</v>
      </c>
      <c r="K6" s="67">
        <f t="shared" si="3"/>
        <v>-2.97766749379653</v>
      </c>
    </row>
    <row r="7" spans="1:11">
      <c r="A7" s="15" t="s">
        <v>17</v>
      </c>
      <c r="B7" s="15">
        <v>512000</v>
      </c>
      <c r="E7" s="60" t="e">
        <f t="shared" si="0"/>
        <v>#DIV/0!</v>
      </c>
      <c r="F7" s="15">
        <v>1.08</v>
      </c>
      <c r="G7" s="15">
        <v>1.23</v>
      </c>
      <c r="H7" s="15">
        <v>1.122</v>
      </c>
      <c r="I7" s="15">
        <f t="shared" si="1"/>
        <v>1.155</v>
      </c>
      <c r="J7" s="17">
        <f t="shared" si="2"/>
        <v>-0.0329999999999999</v>
      </c>
      <c r="K7" s="67">
        <f t="shared" si="3"/>
        <v>-2.85714285714285</v>
      </c>
    </row>
    <row r="8" spans="1:11">
      <c r="A8" s="15" t="s">
        <v>18</v>
      </c>
      <c r="B8" s="17">
        <v>165525</v>
      </c>
      <c r="C8" s="15">
        <v>0.686</v>
      </c>
      <c r="D8" s="15">
        <v>1000</v>
      </c>
      <c r="E8" s="60">
        <f t="shared" si="0"/>
        <v>0.291545189504357</v>
      </c>
      <c r="F8" s="15">
        <v>0.673</v>
      </c>
      <c r="G8" s="15">
        <v>0.734</v>
      </c>
      <c r="H8" s="15">
        <v>0.688</v>
      </c>
      <c r="I8" s="15">
        <f t="shared" si="1"/>
        <v>0.7035</v>
      </c>
      <c r="J8" s="17">
        <f t="shared" si="2"/>
        <v>-0.0155000000000001</v>
      </c>
      <c r="K8" s="67">
        <f t="shared" si="3"/>
        <v>-2.20326936744848</v>
      </c>
    </row>
    <row r="9" spans="1:11">
      <c r="A9" s="15" t="s">
        <v>19</v>
      </c>
      <c r="B9" s="15">
        <v>515630</v>
      </c>
      <c r="C9" s="15">
        <v>1.284</v>
      </c>
      <c r="D9" s="15">
        <v>500</v>
      </c>
      <c r="E9" s="60">
        <f t="shared" si="0"/>
        <v>0.856697819314634</v>
      </c>
      <c r="F9" s="15">
        <v>1.22</v>
      </c>
      <c r="G9" s="15">
        <v>1.401</v>
      </c>
      <c r="H9" s="15">
        <v>1.295</v>
      </c>
      <c r="I9" s="15">
        <f t="shared" si="1"/>
        <v>1.3105</v>
      </c>
      <c r="J9" s="17">
        <f t="shared" si="2"/>
        <v>-0.0155000000000001</v>
      </c>
      <c r="K9" s="67">
        <f t="shared" si="3"/>
        <v>-1.18275467378864</v>
      </c>
    </row>
    <row r="10" spans="1:11">
      <c r="A10" s="15" t="s">
        <v>20</v>
      </c>
      <c r="B10" s="15">
        <v>512760</v>
      </c>
      <c r="E10" s="60" t="e">
        <f t="shared" si="0"/>
        <v>#DIV/0!</v>
      </c>
      <c r="F10" s="15">
        <v>1.073</v>
      </c>
      <c r="G10" s="15">
        <v>1.298</v>
      </c>
      <c r="H10" s="15">
        <v>1.17</v>
      </c>
      <c r="I10" s="15">
        <f t="shared" si="1"/>
        <v>1.1855</v>
      </c>
      <c r="J10" s="17">
        <f t="shared" si="2"/>
        <v>-0.0155000000000001</v>
      </c>
      <c r="K10" s="67">
        <f t="shared" si="3"/>
        <v>-1.30746520455505</v>
      </c>
    </row>
    <row r="11" spans="1:11">
      <c r="A11" s="15" t="s">
        <v>21</v>
      </c>
      <c r="B11" s="15">
        <v>159995</v>
      </c>
      <c r="E11" s="60" t="e">
        <f t="shared" si="0"/>
        <v>#DIV/0!</v>
      </c>
      <c r="F11" s="15">
        <v>1.091</v>
      </c>
      <c r="G11" s="15">
        <v>1.31</v>
      </c>
      <c r="H11" s="15">
        <v>1.19</v>
      </c>
      <c r="I11" s="15">
        <f t="shared" si="1"/>
        <v>1.2005</v>
      </c>
      <c r="J11" s="17">
        <f t="shared" si="2"/>
        <v>-0.0105</v>
      </c>
      <c r="K11" s="67">
        <f t="shared" si="3"/>
        <v>-0.874635568513116</v>
      </c>
    </row>
    <row r="12" spans="1:11">
      <c r="A12" s="15" t="s">
        <v>22</v>
      </c>
      <c r="B12" s="15">
        <v>512070</v>
      </c>
      <c r="E12" s="60" t="e">
        <f t="shared" si="0"/>
        <v>#DIV/0!</v>
      </c>
      <c r="F12" s="15">
        <v>2.415</v>
      </c>
      <c r="G12" s="15">
        <v>2.791</v>
      </c>
      <c r="H12" s="15">
        <v>2.581</v>
      </c>
      <c r="I12" s="15">
        <f t="shared" si="1"/>
        <v>2.603</v>
      </c>
      <c r="J12" s="17">
        <f t="shared" si="2"/>
        <v>-0.0220000000000002</v>
      </c>
      <c r="K12" s="67">
        <f t="shared" si="3"/>
        <v>-0.845178640030743</v>
      </c>
    </row>
    <row r="13" spans="1:11">
      <c r="A13" s="15" t="s">
        <v>23</v>
      </c>
      <c r="B13" s="15">
        <v>512800</v>
      </c>
      <c r="C13" s="15">
        <v>1.127</v>
      </c>
      <c r="D13" s="15">
        <v>2000</v>
      </c>
      <c r="E13" s="60">
        <f t="shared" si="0"/>
        <v>-0.532386867790595</v>
      </c>
      <c r="F13" s="15">
        <v>1.037</v>
      </c>
      <c r="G13" s="15">
        <v>1.237</v>
      </c>
      <c r="H13" s="15">
        <v>1.121</v>
      </c>
      <c r="I13" s="15">
        <f t="shared" si="1"/>
        <v>1.137</v>
      </c>
      <c r="J13" s="17">
        <f t="shared" si="2"/>
        <v>-0.016</v>
      </c>
      <c r="K13" s="67">
        <f t="shared" si="3"/>
        <v>-1.40721196130167</v>
      </c>
    </row>
    <row r="14" spans="1:11">
      <c r="A14" s="15" t="s">
        <v>24</v>
      </c>
      <c r="B14" s="15">
        <v>513050</v>
      </c>
      <c r="C14" s="15">
        <v>2.082</v>
      </c>
      <c r="D14" s="15">
        <v>600</v>
      </c>
      <c r="E14" s="60">
        <f t="shared" si="0"/>
        <v>-0.24015369836695</v>
      </c>
      <c r="F14" s="15">
        <v>1.897</v>
      </c>
      <c r="G14" s="15">
        <v>2.299</v>
      </c>
      <c r="H14" s="15">
        <v>2.077</v>
      </c>
      <c r="I14" s="15">
        <f t="shared" si="1"/>
        <v>2.098</v>
      </c>
      <c r="J14" s="17">
        <f t="shared" si="2"/>
        <v>-0.0209999999999999</v>
      </c>
      <c r="K14" s="67">
        <f t="shared" si="3"/>
        <v>-1.00095328884652</v>
      </c>
    </row>
    <row r="15" spans="1:11">
      <c r="A15" s="15" t="s">
        <v>25</v>
      </c>
      <c r="B15" s="15">
        <v>510880</v>
      </c>
      <c r="E15" s="60" t="e">
        <f t="shared" si="0"/>
        <v>#DIV/0!</v>
      </c>
      <c r="F15" s="15">
        <v>2.66</v>
      </c>
      <c r="G15" s="15">
        <v>2.995</v>
      </c>
      <c r="H15" s="15">
        <v>2.813</v>
      </c>
      <c r="I15" s="15">
        <f t="shared" si="1"/>
        <v>2.8275</v>
      </c>
      <c r="J15" s="17">
        <f t="shared" si="2"/>
        <v>-0.0145</v>
      </c>
      <c r="K15" s="67">
        <f t="shared" si="3"/>
        <v>-0.512820512820511</v>
      </c>
    </row>
    <row r="16" spans="1:11">
      <c r="A16" s="15" t="s">
        <v>26</v>
      </c>
      <c r="B16" s="17">
        <v>161226</v>
      </c>
      <c r="E16" s="60" t="e">
        <f t="shared" si="0"/>
        <v>#DIV/0!</v>
      </c>
      <c r="F16" s="15">
        <v>0.808</v>
      </c>
      <c r="G16" s="15">
        <v>1.046</v>
      </c>
      <c r="H16" s="15">
        <v>0.923</v>
      </c>
      <c r="I16" s="15">
        <f t="shared" si="1"/>
        <v>0.927</v>
      </c>
      <c r="J16" s="17">
        <f t="shared" si="2"/>
        <v>-0.004</v>
      </c>
      <c r="K16" s="67">
        <f t="shared" si="3"/>
        <v>-0.431499460625675</v>
      </c>
    </row>
    <row r="17" spans="1:11">
      <c r="A17" s="15" t="s">
        <v>27</v>
      </c>
      <c r="B17" s="15">
        <v>518880</v>
      </c>
      <c r="E17" s="60" t="e">
        <f t="shared" si="0"/>
        <v>#DIV/0!</v>
      </c>
      <c r="F17" s="15">
        <v>3.604</v>
      </c>
      <c r="G17" s="15">
        <v>4.09</v>
      </c>
      <c r="H17" s="15">
        <v>3.838</v>
      </c>
      <c r="I17" s="15">
        <f t="shared" si="1"/>
        <v>3.847</v>
      </c>
      <c r="J17" s="17">
        <f t="shared" si="2"/>
        <v>-0.0089999999999999</v>
      </c>
      <c r="K17" s="67">
        <f t="shared" si="3"/>
        <v>-0.233948531323106</v>
      </c>
    </row>
    <row r="18" spans="1:11">
      <c r="A18" s="63" t="s">
        <v>28</v>
      </c>
      <c r="B18" s="63">
        <v>510500</v>
      </c>
      <c r="C18" s="63"/>
      <c r="D18" s="63"/>
      <c r="E18" s="64" t="e">
        <f t="shared" si="0"/>
        <v>#DIV/0!</v>
      </c>
      <c r="F18" s="63">
        <v>6.73</v>
      </c>
      <c r="G18" s="63">
        <v>7.216</v>
      </c>
      <c r="H18" s="63">
        <v>7.076</v>
      </c>
      <c r="I18" s="63">
        <f t="shared" si="1"/>
        <v>6.973</v>
      </c>
      <c r="J18" s="68">
        <f t="shared" si="2"/>
        <v>0.103</v>
      </c>
      <c r="K18" s="69">
        <f t="shared" si="3"/>
        <v>1.47712605765094</v>
      </c>
    </row>
    <row r="19" spans="1:11">
      <c r="A19" s="15" t="s">
        <v>29</v>
      </c>
      <c r="B19" s="15">
        <v>515000</v>
      </c>
      <c r="E19" s="60" t="e">
        <f t="shared" si="0"/>
        <v>#DIV/0!</v>
      </c>
      <c r="F19" s="15">
        <v>1.643</v>
      </c>
      <c r="G19" s="15">
        <v>1.829</v>
      </c>
      <c r="H19" s="15">
        <v>1.738</v>
      </c>
      <c r="I19" s="15">
        <f t="shared" si="1"/>
        <v>1.736</v>
      </c>
      <c r="J19" s="17">
        <f t="shared" si="2"/>
        <v>0.002</v>
      </c>
      <c r="K19" s="67">
        <f t="shared" si="3"/>
        <v>0.11520737327189</v>
      </c>
    </row>
    <row r="20" spans="1:11">
      <c r="A20" s="15" t="s">
        <v>30</v>
      </c>
      <c r="B20" s="17">
        <v>159902</v>
      </c>
      <c r="E20" s="60" t="e">
        <f t="shared" si="0"/>
        <v>#DIV/0!</v>
      </c>
      <c r="F20" s="15">
        <v>4.205</v>
      </c>
      <c r="G20" s="15">
        <v>4.718</v>
      </c>
      <c r="H20" s="15">
        <v>4.481</v>
      </c>
      <c r="I20" s="15">
        <f t="shared" si="1"/>
        <v>4.4615</v>
      </c>
      <c r="J20" s="17">
        <f t="shared" si="2"/>
        <v>0.0194999999999999</v>
      </c>
      <c r="K20" s="67">
        <f t="shared" si="3"/>
        <v>0.437072733385629</v>
      </c>
    </row>
    <row r="21" spans="1:11">
      <c r="A21" s="15" t="s">
        <v>31</v>
      </c>
      <c r="B21" s="17">
        <v>501021</v>
      </c>
      <c r="E21" s="60" t="e">
        <f t="shared" si="0"/>
        <v>#DIV/0!</v>
      </c>
      <c r="F21" s="15">
        <v>1.509</v>
      </c>
      <c r="G21" s="15">
        <v>1.666</v>
      </c>
      <c r="H21" s="15">
        <v>1.615</v>
      </c>
      <c r="I21" s="15">
        <f t="shared" si="1"/>
        <v>1.5875</v>
      </c>
      <c r="J21" s="17">
        <f t="shared" si="2"/>
        <v>0.0275000000000001</v>
      </c>
      <c r="K21" s="67">
        <f t="shared" si="3"/>
        <v>1.73228346456693</v>
      </c>
    </row>
    <row r="22" spans="1:11">
      <c r="A22" s="15" t="s">
        <v>32</v>
      </c>
      <c r="B22" s="15">
        <v>159996</v>
      </c>
      <c r="E22" s="60" t="e">
        <f t="shared" si="0"/>
        <v>#DIV/0!</v>
      </c>
      <c r="F22" s="15">
        <v>1.182</v>
      </c>
      <c r="G22" s="15">
        <v>1.457</v>
      </c>
      <c r="H22" s="15">
        <v>1.351</v>
      </c>
      <c r="I22" s="15">
        <f t="shared" si="1"/>
        <v>1.3195</v>
      </c>
      <c r="J22" s="17">
        <f t="shared" si="2"/>
        <v>0.0315000000000001</v>
      </c>
      <c r="K22" s="67">
        <f t="shared" si="3"/>
        <v>2.38726790450929</v>
      </c>
    </row>
    <row r="23" spans="1:11">
      <c r="A23" s="15" t="s">
        <v>33</v>
      </c>
      <c r="B23" s="15">
        <v>512670</v>
      </c>
      <c r="E23" s="60" t="e">
        <f t="shared" si="0"/>
        <v>#DIV/0!</v>
      </c>
      <c r="F23" s="15">
        <v>1.555</v>
      </c>
      <c r="G23" s="15">
        <v>1.8</v>
      </c>
      <c r="H23" s="15">
        <v>1.726</v>
      </c>
      <c r="I23" s="15">
        <f t="shared" si="1"/>
        <v>1.6775</v>
      </c>
      <c r="J23" s="17">
        <f t="shared" si="2"/>
        <v>0.0485</v>
      </c>
      <c r="K23" s="67">
        <f t="shared" si="3"/>
        <v>2.89120715350223</v>
      </c>
    </row>
    <row r="24" spans="1:11">
      <c r="A24" s="15" t="s">
        <v>34</v>
      </c>
      <c r="B24" s="15">
        <v>159985</v>
      </c>
      <c r="E24" s="60" t="e">
        <f t="shared" si="0"/>
        <v>#DIV/0!</v>
      </c>
      <c r="F24" s="15">
        <v>1.068</v>
      </c>
      <c r="G24" s="15">
        <v>1.196</v>
      </c>
      <c r="H24" s="15">
        <v>1.165</v>
      </c>
      <c r="I24" s="15">
        <f t="shared" si="1"/>
        <v>1.132</v>
      </c>
      <c r="J24" s="17">
        <f t="shared" si="2"/>
        <v>0.0330000000000001</v>
      </c>
      <c r="K24" s="67">
        <f t="shared" si="3"/>
        <v>2.91519434628977</v>
      </c>
    </row>
    <row r="25" spans="1:11">
      <c r="A25" s="15" t="s">
        <v>35</v>
      </c>
      <c r="B25" s="15">
        <v>159966</v>
      </c>
      <c r="E25" s="60" t="e">
        <f t="shared" si="0"/>
        <v>#DIV/0!</v>
      </c>
      <c r="F25" s="15">
        <v>0.567</v>
      </c>
      <c r="G25" s="15">
        <v>0.637</v>
      </c>
      <c r="H25" s="15">
        <v>0.62</v>
      </c>
      <c r="I25" s="15">
        <f t="shared" si="1"/>
        <v>0.602</v>
      </c>
      <c r="J25" s="17">
        <f t="shared" si="2"/>
        <v>0.018</v>
      </c>
      <c r="K25" s="67">
        <f t="shared" si="3"/>
        <v>2.99003322259136</v>
      </c>
    </row>
    <row r="26" spans="1:11">
      <c r="A26" s="63" t="s">
        <v>36</v>
      </c>
      <c r="B26" s="63">
        <v>510050</v>
      </c>
      <c r="C26" s="63"/>
      <c r="D26" s="63"/>
      <c r="E26" s="64" t="e">
        <f t="shared" si="0"/>
        <v>#DIV/0!</v>
      </c>
      <c r="F26" s="63">
        <v>3.211</v>
      </c>
      <c r="G26" s="63">
        <v>3.58</v>
      </c>
      <c r="H26" s="63">
        <v>3.512</v>
      </c>
      <c r="I26" s="63">
        <f t="shared" si="1"/>
        <v>3.3955</v>
      </c>
      <c r="J26" s="68">
        <f t="shared" si="2"/>
        <v>0.1165</v>
      </c>
      <c r="K26" s="69">
        <f t="shared" si="3"/>
        <v>3.43101163304373</v>
      </c>
    </row>
    <row r="27" spans="1:11">
      <c r="A27" s="15" t="s">
        <v>37</v>
      </c>
      <c r="B27" s="17">
        <v>515790</v>
      </c>
      <c r="E27" s="60" t="e">
        <f t="shared" si="0"/>
        <v>#DIV/0!</v>
      </c>
      <c r="F27" s="15">
        <v>1.013</v>
      </c>
      <c r="G27" s="15">
        <v>1.082</v>
      </c>
      <c r="H27" s="15">
        <v>1.082</v>
      </c>
      <c r="I27" s="15">
        <f t="shared" si="1"/>
        <v>1.0475</v>
      </c>
      <c r="J27" s="17">
        <f t="shared" si="2"/>
        <v>0.0345</v>
      </c>
      <c r="K27" s="67">
        <f t="shared" si="3"/>
        <v>3.29355608591885</v>
      </c>
    </row>
    <row r="28" spans="1:11">
      <c r="A28" s="63" t="s">
        <v>38</v>
      </c>
      <c r="B28" s="63">
        <v>510310</v>
      </c>
      <c r="C28" s="63"/>
      <c r="D28" s="63"/>
      <c r="E28" s="64" t="e">
        <f t="shared" si="0"/>
        <v>#DIV/0!</v>
      </c>
      <c r="F28" s="63">
        <v>2.064</v>
      </c>
      <c r="G28" s="63">
        <v>2.315</v>
      </c>
      <c r="H28" s="63">
        <v>2.287</v>
      </c>
      <c r="I28" s="63">
        <f t="shared" si="1"/>
        <v>2.1895</v>
      </c>
      <c r="J28" s="68">
        <f t="shared" si="2"/>
        <v>0.0975000000000001</v>
      </c>
      <c r="K28" s="69">
        <f t="shared" si="3"/>
        <v>4.45307147750629</v>
      </c>
    </row>
    <row r="29" spans="1:11">
      <c r="A29" s="15" t="s">
        <v>39</v>
      </c>
      <c r="B29" s="17">
        <v>501050</v>
      </c>
      <c r="E29" s="60" t="e">
        <f t="shared" si="0"/>
        <v>#DIV/0!</v>
      </c>
      <c r="F29" s="15">
        <v>1.419</v>
      </c>
      <c r="G29" s="15">
        <v>1.56</v>
      </c>
      <c r="H29" s="15">
        <v>1.547</v>
      </c>
      <c r="I29" s="15">
        <f t="shared" si="1"/>
        <v>1.4895</v>
      </c>
      <c r="J29" s="17">
        <f t="shared" si="2"/>
        <v>0.0574999999999999</v>
      </c>
      <c r="K29" s="67">
        <f t="shared" si="3"/>
        <v>3.86035582410204</v>
      </c>
    </row>
    <row r="30" spans="1:11">
      <c r="A30" s="15" t="s">
        <v>36</v>
      </c>
      <c r="B30" s="17">
        <v>510100</v>
      </c>
      <c r="E30" s="60" t="e">
        <f t="shared" si="0"/>
        <v>#DIV/0!</v>
      </c>
      <c r="F30" s="15">
        <v>1.222</v>
      </c>
      <c r="G30" s="15">
        <v>1.37</v>
      </c>
      <c r="H30" s="15">
        <v>1.347</v>
      </c>
      <c r="I30" s="15">
        <f t="shared" si="1"/>
        <v>1.296</v>
      </c>
      <c r="J30" s="17">
        <f t="shared" si="2"/>
        <v>0.0509999999999999</v>
      </c>
      <c r="K30" s="67">
        <f t="shared" si="3"/>
        <v>3.93518518518518</v>
      </c>
    </row>
    <row r="31" spans="1:11">
      <c r="A31" s="15" t="s">
        <v>40</v>
      </c>
      <c r="B31" s="15">
        <v>159992</v>
      </c>
      <c r="E31" s="60" t="e">
        <f t="shared" si="0"/>
        <v>#DIV/0!</v>
      </c>
      <c r="F31" s="15">
        <v>1.211</v>
      </c>
      <c r="G31" s="15">
        <v>1.42</v>
      </c>
      <c r="H31" s="15">
        <v>1.372</v>
      </c>
      <c r="I31" s="15">
        <f t="shared" si="1"/>
        <v>1.3155</v>
      </c>
      <c r="J31" s="17">
        <f t="shared" si="2"/>
        <v>0.0565000000000002</v>
      </c>
      <c r="K31" s="67">
        <f t="shared" si="3"/>
        <v>4.29494488787535</v>
      </c>
    </row>
    <row r="32" spans="1:11">
      <c r="A32" s="63">
        <v>300</v>
      </c>
      <c r="B32" s="63">
        <v>510300</v>
      </c>
      <c r="C32" s="63"/>
      <c r="D32" s="63"/>
      <c r="E32" s="64" t="e">
        <f t="shared" si="0"/>
        <v>#DIV/0!</v>
      </c>
      <c r="F32" s="63">
        <v>4.615</v>
      </c>
      <c r="G32" s="63">
        <v>5.165</v>
      </c>
      <c r="H32" s="63">
        <v>5.101</v>
      </c>
      <c r="I32" s="63">
        <f t="shared" si="1"/>
        <v>4.89</v>
      </c>
      <c r="J32" s="68">
        <f t="shared" si="2"/>
        <v>0.211</v>
      </c>
      <c r="K32" s="69">
        <f t="shared" si="3"/>
        <v>4.31492842535788</v>
      </c>
    </row>
    <row r="33" spans="1:11">
      <c r="A33" s="15" t="s">
        <v>41</v>
      </c>
      <c r="B33" s="15">
        <v>159980</v>
      </c>
      <c r="E33" s="60" t="e">
        <f t="shared" si="0"/>
        <v>#DIV/0!</v>
      </c>
      <c r="F33" s="15">
        <v>1.034</v>
      </c>
      <c r="G33" s="15">
        <v>1.275</v>
      </c>
      <c r="H33" s="15">
        <v>1.205</v>
      </c>
      <c r="I33" s="15">
        <f t="shared" si="1"/>
        <v>1.1545</v>
      </c>
      <c r="J33" s="17">
        <f t="shared" si="2"/>
        <v>0.0505</v>
      </c>
      <c r="K33" s="67">
        <f t="shared" si="3"/>
        <v>4.37418796015591</v>
      </c>
    </row>
    <row r="34" spans="1:11">
      <c r="A34" s="15" t="s">
        <v>42</v>
      </c>
      <c r="B34" s="15">
        <v>512170</v>
      </c>
      <c r="E34" s="60" t="e">
        <f t="shared" si="0"/>
        <v>#DIV/0!</v>
      </c>
      <c r="F34" s="15">
        <v>1.98</v>
      </c>
      <c r="G34" s="15">
        <v>2.304</v>
      </c>
      <c r="H34" s="15">
        <v>2.238</v>
      </c>
      <c r="I34" s="15">
        <f t="shared" si="1"/>
        <v>2.142</v>
      </c>
      <c r="J34" s="17">
        <f t="shared" si="2"/>
        <v>0.0960000000000001</v>
      </c>
      <c r="K34" s="67">
        <f t="shared" si="3"/>
        <v>4.48179271708684</v>
      </c>
    </row>
    <row r="35" spans="1:11">
      <c r="A35" s="15" t="s">
        <v>43</v>
      </c>
      <c r="B35" s="15">
        <v>512910</v>
      </c>
      <c r="E35" s="60" t="e">
        <f t="shared" si="0"/>
        <v>#DIV/0!</v>
      </c>
      <c r="F35" s="15">
        <v>1.281</v>
      </c>
      <c r="G35" s="15">
        <v>1.466</v>
      </c>
      <c r="H35" s="15">
        <v>1.438</v>
      </c>
      <c r="I35" s="15">
        <f t="shared" si="1"/>
        <v>1.3735</v>
      </c>
      <c r="J35" s="17">
        <f t="shared" si="2"/>
        <v>0.0645</v>
      </c>
      <c r="K35" s="67">
        <f t="shared" si="3"/>
        <v>4.69603203494722</v>
      </c>
    </row>
    <row r="36" spans="1:11">
      <c r="A36" s="15" t="s">
        <v>44</v>
      </c>
      <c r="B36" s="15">
        <v>513500</v>
      </c>
      <c r="E36" s="60" t="e">
        <f t="shared" si="0"/>
        <v>#DIV/0!</v>
      </c>
      <c r="F36" s="15">
        <v>2.043</v>
      </c>
      <c r="G36" s="15">
        <v>2.297</v>
      </c>
      <c r="H36" s="15">
        <v>2.285</v>
      </c>
      <c r="I36" s="15">
        <f t="shared" si="1"/>
        <v>2.17</v>
      </c>
      <c r="J36" s="17">
        <f t="shared" si="2"/>
        <v>0.115</v>
      </c>
      <c r="K36" s="67">
        <f t="shared" si="3"/>
        <v>5.29953917050692</v>
      </c>
    </row>
    <row r="37" spans="1:11">
      <c r="A37" s="15" t="s">
        <v>45</v>
      </c>
      <c r="B37" s="15">
        <v>159905</v>
      </c>
      <c r="E37" s="60" t="e">
        <f t="shared" si="0"/>
        <v>#DIV/0!</v>
      </c>
      <c r="F37" s="15">
        <v>2.269</v>
      </c>
      <c r="G37" s="15">
        <v>2.721</v>
      </c>
      <c r="H37" s="15">
        <v>2.648</v>
      </c>
      <c r="I37" s="15">
        <f t="shared" si="1"/>
        <v>2.495</v>
      </c>
      <c r="J37" s="17">
        <f t="shared" si="2"/>
        <v>0.153</v>
      </c>
      <c r="K37" s="67">
        <f t="shared" si="3"/>
        <v>6.13226452905812</v>
      </c>
    </row>
    <row r="38" spans="1:11">
      <c r="A38" s="15" t="s">
        <v>46</v>
      </c>
      <c r="B38" s="15">
        <v>159949</v>
      </c>
      <c r="E38" s="60" t="e">
        <f t="shared" si="0"/>
        <v>#DIV/0!</v>
      </c>
      <c r="F38" s="15">
        <v>1.007</v>
      </c>
      <c r="G38" s="15">
        <v>1.174</v>
      </c>
      <c r="H38" s="15">
        <v>1.158</v>
      </c>
      <c r="I38" s="15">
        <f t="shared" si="1"/>
        <v>1.0905</v>
      </c>
      <c r="J38" s="17">
        <f t="shared" si="2"/>
        <v>0.0674999999999999</v>
      </c>
      <c r="K38" s="67">
        <f t="shared" si="3"/>
        <v>6.18982118294359</v>
      </c>
    </row>
    <row r="39" spans="1:11">
      <c r="A39" s="15" t="s">
        <v>47</v>
      </c>
      <c r="B39" s="15">
        <v>159928</v>
      </c>
      <c r="E39" s="60" t="e">
        <f t="shared" si="0"/>
        <v>#DIV/0!</v>
      </c>
      <c r="F39" s="15">
        <v>4.273</v>
      </c>
      <c r="G39" s="15">
        <v>5.02</v>
      </c>
      <c r="H39" s="15">
        <v>4.952</v>
      </c>
      <c r="I39" s="15">
        <f t="shared" si="1"/>
        <v>4.6465</v>
      </c>
      <c r="J39" s="17">
        <f t="shared" si="2"/>
        <v>0.3055</v>
      </c>
      <c r="K39" s="67">
        <f t="shared" si="3"/>
        <v>6.57484127838159</v>
      </c>
    </row>
    <row r="40" spans="1:11">
      <c r="A40" s="15" t="s">
        <v>48</v>
      </c>
      <c r="B40" s="15">
        <v>512010</v>
      </c>
      <c r="E40" s="60" t="e">
        <f t="shared" si="0"/>
        <v>#DIV/0!</v>
      </c>
      <c r="F40" s="15">
        <v>2.53</v>
      </c>
      <c r="G40" s="15">
        <v>2.931</v>
      </c>
      <c r="H40" s="15">
        <v>2.92</v>
      </c>
      <c r="I40" s="15">
        <f t="shared" si="1"/>
        <v>2.7305</v>
      </c>
      <c r="J40" s="17">
        <f t="shared" si="2"/>
        <v>0.1895</v>
      </c>
      <c r="K40" s="67">
        <f t="shared" si="3"/>
        <v>6.94012085698589</v>
      </c>
    </row>
    <row r="41" spans="1:11">
      <c r="A41" s="15" t="s">
        <v>47</v>
      </c>
      <c r="B41" s="15">
        <v>510630</v>
      </c>
      <c r="E41" s="60" t="e">
        <f t="shared" si="0"/>
        <v>#DIV/0!</v>
      </c>
      <c r="F41" s="15">
        <v>4.715</v>
      </c>
      <c r="G41" s="15">
        <v>5.595</v>
      </c>
      <c r="H41" s="15">
        <v>5.518</v>
      </c>
      <c r="I41" s="15">
        <f t="shared" si="1"/>
        <v>5.155</v>
      </c>
      <c r="J41" s="17">
        <f t="shared" si="2"/>
        <v>0.363</v>
      </c>
      <c r="K41" s="67">
        <f t="shared" si="3"/>
        <v>7.04170708050436</v>
      </c>
    </row>
    <row r="42" spans="1:11">
      <c r="A42" s="15" t="s">
        <v>49</v>
      </c>
      <c r="B42" s="15">
        <v>515220</v>
      </c>
      <c r="E42" s="60" t="e">
        <f t="shared" si="0"/>
        <v>#DIV/0!</v>
      </c>
      <c r="F42" s="15">
        <v>1.096</v>
      </c>
      <c r="G42" s="15">
        <v>1.337</v>
      </c>
      <c r="H42" s="15">
        <v>1.31</v>
      </c>
      <c r="I42" s="15">
        <f t="shared" si="1"/>
        <v>1.2165</v>
      </c>
      <c r="J42" s="17">
        <f t="shared" si="2"/>
        <v>0.0935000000000001</v>
      </c>
      <c r="K42" s="67">
        <f t="shared" si="3"/>
        <v>7.68598438142212</v>
      </c>
    </row>
    <row r="43" spans="1:11">
      <c r="A43" s="15" t="s">
        <v>50</v>
      </c>
      <c r="B43" s="17">
        <v>162411</v>
      </c>
      <c r="E43" s="60" t="e">
        <f t="shared" si="0"/>
        <v>#DIV/0!</v>
      </c>
      <c r="F43" s="15">
        <v>0.214</v>
      </c>
      <c r="G43" s="15">
        <v>0.31</v>
      </c>
      <c r="H43" s="15">
        <v>0.287</v>
      </c>
      <c r="I43" s="15">
        <f t="shared" si="1"/>
        <v>0.262</v>
      </c>
      <c r="J43" s="17">
        <f t="shared" si="2"/>
        <v>0.025</v>
      </c>
      <c r="K43" s="67">
        <f t="shared" si="3"/>
        <v>9.54198473282441</v>
      </c>
    </row>
    <row r="44" spans="1:11">
      <c r="A44" s="15" t="s">
        <v>51</v>
      </c>
      <c r="B44" s="15">
        <v>512580</v>
      </c>
      <c r="E44" s="60" t="e">
        <f t="shared" si="0"/>
        <v>#DIV/0!</v>
      </c>
      <c r="F44" s="15">
        <v>0.969</v>
      </c>
      <c r="G44" s="15">
        <v>1.188</v>
      </c>
      <c r="H44" s="15">
        <v>1.188</v>
      </c>
      <c r="I44" s="15">
        <f t="shared" si="1"/>
        <v>1.0785</v>
      </c>
      <c r="J44" s="17">
        <f t="shared" si="2"/>
        <v>0.1095</v>
      </c>
      <c r="K44" s="67">
        <f t="shared" si="3"/>
        <v>10.1529902642559</v>
      </c>
    </row>
    <row r="45" spans="1:11">
      <c r="A45" s="63" t="s">
        <v>52</v>
      </c>
      <c r="B45" s="63">
        <v>159967</v>
      </c>
      <c r="C45" s="63"/>
      <c r="D45" s="63"/>
      <c r="E45" s="64" t="e">
        <f t="shared" si="0"/>
        <v>#DIV/0!</v>
      </c>
      <c r="F45" s="63">
        <v>0.485</v>
      </c>
      <c r="G45" s="63">
        <v>0.612</v>
      </c>
      <c r="H45" s="63">
        <v>0.615</v>
      </c>
      <c r="I45" s="63">
        <f t="shared" si="1"/>
        <v>0.5485</v>
      </c>
      <c r="J45" s="68">
        <f t="shared" si="2"/>
        <v>0.0665</v>
      </c>
      <c r="K45" s="69">
        <f t="shared" si="3"/>
        <v>12.1239744758432</v>
      </c>
    </row>
    <row r="46" spans="1:11">
      <c r="A46" s="15" t="s">
        <v>53</v>
      </c>
      <c r="B46" s="15">
        <v>512400</v>
      </c>
      <c r="E46" s="60" t="e">
        <f t="shared" ref="E46:E51" si="4">(H46-C46)/C46*100</f>
        <v>#DIV/0!</v>
      </c>
      <c r="F46" s="15">
        <v>0.765</v>
      </c>
      <c r="G46" s="15">
        <v>0.995</v>
      </c>
      <c r="H46" s="15">
        <v>0.995</v>
      </c>
      <c r="I46" s="15">
        <f t="shared" si="1"/>
        <v>0.88</v>
      </c>
      <c r="J46" s="17">
        <f t="shared" si="2"/>
        <v>0.115</v>
      </c>
      <c r="K46" s="67">
        <f t="shared" si="3"/>
        <v>13.0681818181818</v>
      </c>
    </row>
    <row r="47" spans="1:11">
      <c r="A47" s="15" t="s">
        <v>54</v>
      </c>
      <c r="B47" s="15">
        <v>512690</v>
      </c>
      <c r="E47" s="60" t="e">
        <f t="shared" si="4"/>
        <v>#DIV/0!</v>
      </c>
      <c r="F47" s="15">
        <v>1.767</v>
      </c>
      <c r="G47" s="15">
        <v>2.559</v>
      </c>
      <c r="H47" s="15">
        <v>2.522</v>
      </c>
      <c r="I47" s="15">
        <f t="shared" si="1"/>
        <v>2.163</v>
      </c>
      <c r="J47" s="17">
        <f t="shared" si="2"/>
        <v>0.359</v>
      </c>
      <c r="K47" s="67">
        <f t="shared" si="3"/>
        <v>16.5973185390661</v>
      </c>
    </row>
    <row r="48" spans="1:11">
      <c r="A48" s="15" t="s">
        <v>55</v>
      </c>
      <c r="B48" s="15">
        <v>515700</v>
      </c>
      <c r="E48" s="60" t="e">
        <f t="shared" si="4"/>
        <v>#DIV/0!</v>
      </c>
      <c r="F48" s="15">
        <v>1.32</v>
      </c>
      <c r="G48" s="15">
        <v>1.973</v>
      </c>
      <c r="H48" s="15">
        <v>1.973</v>
      </c>
      <c r="I48" s="15">
        <f t="shared" si="1"/>
        <v>1.6465</v>
      </c>
      <c r="J48" s="17">
        <f t="shared" si="2"/>
        <v>0.3265</v>
      </c>
      <c r="K48" s="67">
        <f t="shared" si="3"/>
        <v>19.8299423018524</v>
      </c>
    </row>
    <row r="49" spans="1:11">
      <c r="A49" s="15" t="s">
        <v>55</v>
      </c>
      <c r="B49" s="15">
        <v>515030</v>
      </c>
      <c r="E49" s="60" t="e">
        <f t="shared" si="4"/>
        <v>#DIV/0!</v>
      </c>
      <c r="F49" s="15">
        <v>1.06</v>
      </c>
      <c r="G49" s="15">
        <v>1.587</v>
      </c>
      <c r="H49" s="15">
        <v>1.587</v>
      </c>
      <c r="I49" s="15">
        <f t="shared" si="1"/>
        <v>1.3235</v>
      </c>
      <c r="J49" s="17">
        <f t="shared" si="2"/>
        <v>0.2635</v>
      </c>
      <c r="K49" s="67">
        <f t="shared" si="3"/>
        <v>19.9093313184738</v>
      </c>
    </row>
    <row r="50" spans="1:11">
      <c r="A50" s="15" t="s">
        <v>55</v>
      </c>
      <c r="B50" s="15">
        <v>159806</v>
      </c>
      <c r="E50" s="60" t="e">
        <f t="shared" si="4"/>
        <v>#DIV/0!</v>
      </c>
      <c r="F50" s="15">
        <v>1.345</v>
      </c>
      <c r="G50" s="15">
        <v>2.016</v>
      </c>
      <c r="H50" s="15">
        <v>2.016</v>
      </c>
      <c r="I50" s="15">
        <f t="shared" si="1"/>
        <v>1.6805</v>
      </c>
      <c r="J50" s="17">
        <f t="shared" si="2"/>
        <v>0.3355</v>
      </c>
      <c r="K50" s="67">
        <f t="shared" si="3"/>
        <v>19.9642963403749</v>
      </c>
    </row>
    <row r="51" ht="14" customHeight="1" spans="1:11">
      <c r="A51" s="63">
        <v>180</v>
      </c>
      <c r="B51" s="63">
        <v>510180</v>
      </c>
      <c r="C51" s="63"/>
      <c r="D51" s="63"/>
      <c r="E51" s="64" t="e">
        <f t="shared" si="4"/>
        <v>#DIV/0!</v>
      </c>
      <c r="F51" s="63">
        <v>3.791</v>
      </c>
      <c r="G51" s="63">
        <v>4.196</v>
      </c>
      <c r="H51" s="63">
        <v>4.147</v>
      </c>
      <c r="I51" s="63">
        <f t="shared" si="1"/>
        <v>3.9935</v>
      </c>
      <c r="J51" s="68">
        <f t="shared" si="2"/>
        <v>0.1535</v>
      </c>
      <c r="K51" s="69">
        <f t="shared" si="3"/>
        <v>3.84374608739202</v>
      </c>
    </row>
    <row r="52" s="16" customFormat="1" ht="14" customHeight="1" spans="5:15">
      <c r="E52" s="65"/>
      <c r="J52" s="70"/>
      <c r="K52" s="71"/>
      <c r="O52" s="72"/>
    </row>
    <row r="53" spans="1:19">
      <c r="A53" s="16"/>
      <c r="B53" s="16"/>
      <c r="C53" s="16"/>
      <c r="D53" s="16"/>
      <c r="E53" s="65"/>
      <c r="F53" s="66" t="s">
        <v>5</v>
      </c>
      <c r="G53" s="66" t="s">
        <v>6</v>
      </c>
      <c r="H53" s="18" t="s">
        <v>7</v>
      </c>
      <c r="I53" s="18" t="s">
        <v>8</v>
      </c>
      <c r="J53" s="17" t="s">
        <v>9</v>
      </c>
      <c r="K53" s="19" t="s">
        <v>10</v>
      </c>
      <c r="L53" s="18" t="s">
        <v>11</v>
      </c>
      <c r="M53" s="18" t="s">
        <v>56</v>
      </c>
      <c r="N53" s="18" t="s">
        <v>57</v>
      </c>
      <c r="O53" s="24" t="s">
        <v>58</v>
      </c>
      <c r="P53" s="18" t="s">
        <v>59</v>
      </c>
      <c r="Q53" s="25" t="s">
        <v>60</v>
      </c>
      <c r="R53" s="18" t="s">
        <v>61</v>
      </c>
      <c r="S53" s="18" t="s">
        <v>62</v>
      </c>
    </row>
    <row r="54" spans="1:19">
      <c r="A54" s="15" t="s">
        <v>63</v>
      </c>
      <c r="B54" s="15">
        <v>510100</v>
      </c>
      <c r="F54" s="20">
        <v>1.222</v>
      </c>
      <c r="G54" s="20">
        <v>1.37</v>
      </c>
      <c r="H54" s="21">
        <v>1.35</v>
      </c>
      <c r="I54" s="22">
        <f>(F54+G54)/2</f>
        <v>1.296</v>
      </c>
      <c r="J54" s="22">
        <f>(H54-I54)</f>
        <v>0.054</v>
      </c>
      <c r="K54" s="22">
        <f>J54/I54*100</f>
        <v>4.16666666666667</v>
      </c>
      <c r="L54" s="20">
        <f>H54-O54</f>
        <v>0.0185093564582384</v>
      </c>
      <c r="M54" s="26">
        <f>(N54/N56*M56)</f>
        <v>1.31315381104519</v>
      </c>
      <c r="N54" s="26">
        <f>(O54/O56*N56)</f>
        <v>1.32380100410771</v>
      </c>
      <c r="O54" s="26">
        <f>(P54/P56*O56)</f>
        <v>1.33149064354176</v>
      </c>
      <c r="P54" s="27">
        <f>I54</f>
        <v>1.296</v>
      </c>
      <c r="Q54" s="26">
        <f>P54/P55*Q55</f>
        <v>1.33740575079872</v>
      </c>
      <c r="R54" s="20">
        <f>Q54/Q55*R55</f>
        <v>1.34272934732999</v>
      </c>
      <c r="S54" s="20">
        <f>R54/R55*S55</f>
        <v>1.34864445458695</v>
      </c>
    </row>
    <row r="55" spans="1:19">
      <c r="A55" s="15" t="s">
        <v>64</v>
      </c>
      <c r="B55" s="15">
        <v>510180</v>
      </c>
      <c r="F55" s="20">
        <v>3.791</v>
      </c>
      <c r="G55" s="20">
        <v>4.196</v>
      </c>
      <c r="H55" s="21">
        <v>4.118</v>
      </c>
      <c r="I55" s="22">
        <f>(F55+G55)/2</f>
        <v>3.9935</v>
      </c>
      <c r="J55" s="22">
        <f>(H55-I55)</f>
        <v>0.1245</v>
      </c>
      <c r="K55" s="22">
        <f>J55/I55*100</f>
        <v>3.11756604482284</v>
      </c>
      <c r="L55" s="20">
        <f t="shared" ref="L55:L65" si="5">H55-O55</f>
        <v>0.0151389776357833</v>
      </c>
      <c r="M55" s="26">
        <f>(N55/N56*M56)</f>
        <v>4.04635782747604</v>
      </c>
      <c r="N55" s="26">
        <f>(O55/O56*N56)</f>
        <v>4.0791661341853</v>
      </c>
      <c r="O55" s="26">
        <f>(P55/P56*O56)</f>
        <v>4.10286102236422</v>
      </c>
      <c r="P55" s="27">
        <f>I55</f>
        <v>3.9935</v>
      </c>
      <c r="Q55" s="26">
        <f>P55/P56*Q56</f>
        <v>4.12108785942492</v>
      </c>
      <c r="R55" s="20">
        <f>Q55/Q56*R56</f>
        <v>4.13749201277955</v>
      </c>
      <c r="S55" s="20">
        <f>R55/R56*S56</f>
        <v>4.15571884984026</v>
      </c>
    </row>
    <row r="56" spans="1:19">
      <c r="A56" s="15" t="s">
        <v>65</v>
      </c>
      <c r="B56" s="15">
        <v>510310</v>
      </c>
      <c r="F56" s="20">
        <v>2.067</v>
      </c>
      <c r="G56" s="20">
        <v>2.315</v>
      </c>
      <c r="H56" s="21">
        <v>2.278</v>
      </c>
      <c r="I56" s="22">
        <f t="shared" ref="I56:I65" si="6">(F56+G56)/2</f>
        <v>2.191</v>
      </c>
      <c r="J56" s="22">
        <f t="shared" ref="J56:J65" si="7">(H56-I56)</f>
        <v>0.0870000000000002</v>
      </c>
      <c r="K56" s="22">
        <f t="shared" ref="K56:K65" si="8">J56/I56*100</f>
        <v>3.9707895937928</v>
      </c>
      <c r="L56" s="20">
        <f t="shared" si="5"/>
        <v>0.0270000000000001</v>
      </c>
      <c r="M56" s="26">
        <v>2.22</v>
      </c>
      <c r="N56" s="26">
        <v>2.238</v>
      </c>
      <c r="O56" s="28">
        <v>2.251</v>
      </c>
      <c r="P56" s="27">
        <f>I56</f>
        <v>2.191</v>
      </c>
      <c r="Q56" s="28">
        <v>2.261</v>
      </c>
      <c r="R56" s="20">
        <v>2.27</v>
      </c>
      <c r="S56" s="20">
        <v>2.28</v>
      </c>
    </row>
    <row r="57" spans="1:19">
      <c r="A57" s="15" t="s">
        <v>66</v>
      </c>
      <c r="B57" s="15">
        <v>159967</v>
      </c>
      <c r="F57" s="20">
        <v>0.486</v>
      </c>
      <c r="G57" s="20">
        <v>0.626</v>
      </c>
      <c r="H57" s="21">
        <v>0.617</v>
      </c>
      <c r="I57" s="22">
        <f t="shared" si="6"/>
        <v>0.556</v>
      </c>
      <c r="J57" s="22">
        <f t="shared" si="7"/>
        <v>0.0609999999999999</v>
      </c>
      <c r="K57" s="22">
        <f t="shared" si="8"/>
        <v>10.9712230215827</v>
      </c>
      <c r="L57" s="26">
        <f t="shared" si="5"/>
        <v>0.00900000000000001</v>
      </c>
      <c r="M57" s="26">
        <v>0.595</v>
      </c>
      <c r="N57" s="26">
        <v>0.602</v>
      </c>
      <c r="O57" s="28">
        <v>0.608</v>
      </c>
      <c r="P57" s="27">
        <f t="shared" ref="P57:P65" si="9">I57</f>
        <v>0.556</v>
      </c>
      <c r="Q57" s="28">
        <v>0.612</v>
      </c>
      <c r="R57" s="20">
        <v>0.616</v>
      </c>
      <c r="S57" s="20">
        <v>0.62</v>
      </c>
    </row>
    <row r="58" spans="1:19">
      <c r="A58" s="15" t="s">
        <v>67</v>
      </c>
      <c r="B58" s="15">
        <v>159902</v>
      </c>
      <c r="F58" s="20">
        <v>4.151</v>
      </c>
      <c r="G58" s="20">
        <v>4.718</v>
      </c>
      <c r="H58" s="21">
        <v>4.588</v>
      </c>
      <c r="I58" s="22">
        <f t="shared" si="6"/>
        <v>4.4345</v>
      </c>
      <c r="J58" s="22">
        <f t="shared" si="7"/>
        <v>0.1535</v>
      </c>
      <c r="K58" s="22">
        <f t="shared" si="8"/>
        <v>3.46149509527568</v>
      </c>
      <c r="L58" s="26">
        <f t="shared" si="5"/>
        <v>0.0320623003194891</v>
      </c>
      <c r="M58" s="26">
        <f t="shared" ref="M58:M65" si="10">(N58/N56*M56)</f>
        <v>4.49319488817891</v>
      </c>
      <c r="N58" s="26">
        <f t="shared" ref="N58:N65" si="11">(O58/O56*N56)</f>
        <v>4.52962619808307</v>
      </c>
      <c r="O58" s="26">
        <f t="shared" ref="O58:O65" si="12">(P58/P56*O56)</f>
        <v>4.55593769968051</v>
      </c>
      <c r="P58" s="27">
        <f t="shared" si="9"/>
        <v>4.4345</v>
      </c>
      <c r="Q58" s="26">
        <f t="shared" ref="Q58:Q65" si="13">P58/P56*Q56</f>
        <v>4.57617731629393</v>
      </c>
      <c r="R58" s="20">
        <f t="shared" ref="R58:R65" si="14">Q58/Q56*R56</f>
        <v>4.59439297124601</v>
      </c>
      <c r="S58" s="20">
        <f t="shared" ref="S58:S65" si="15">R58/R56*S56</f>
        <v>4.61463258785942</v>
      </c>
    </row>
    <row r="59" spans="1:19">
      <c r="A59" s="15" t="s">
        <v>68</v>
      </c>
      <c r="B59" s="23">
        <v>159901</v>
      </c>
      <c r="F59" s="20">
        <v>6.505</v>
      </c>
      <c r="G59" s="20">
        <v>7.579</v>
      </c>
      <c r="H59" s="21">
        <v>7.522</v>
      </c>
      <c r="I59" s="22">
        <f t="shared" si="6"/>
        <v>7.042</v>
      </c>
      <c r="J59" s="22">
        <f t="shared" si="7"/>
        <v>0.48</v>
      </c>
      <c r="K59" s="22">
        <f t="shared" si="8"/>
        <v>6.81624538483386</v>
      </c>
      <c r="L59" s="26">
        <f t="shared" si="5"/>
        <v>-0.178604316546761</v>
      </c>
      <c r="M59" s="26">
        <f t="shared" si="10"/>
        <v>7.53595323741007</v>
      </c>
      <c r="N59" s="26">
        <f t="shared" si="11"/>
        <v>7.62461151079137</v>
      </c>
      <c r="O59" s="26">
        <f t="shared" si="12"/>
        <v>7.70060431654676</v>
      </c>
      <c r="P59" s="27">
        <f t="shared" si="9"/>
        <v>7.042</v>
      </c>
      <c r="Q59" s="26">
        <f t="shared" si="13"/>
        <v>7.75126618705036</v>
      </c>
      <c r="R59" s="20">
        <f t="shared" si="14"/>
        <v>7.80192805755396</v>
      </c>
      <c r="S59" s="20">
        <f t="shared" si="15"/>
        <v>7.85258992805755</v>
      </c>
    </row>
    <row r="60" spans="1:19">
      <c r="A60" s="15" t="s">
        <v>69</v>
      </c>
      <c r="B60" s="15">
        <v>512910</v>
      </c>
      <c r="F60" s="20">
        <v>1.281</v>
      </c>
      <c r="G60" s="20">
        <v>1.466</v>
      </c>
      <c r="H60" s="21">
        <v>1.442</v>
      </c>
      <c r="I60" s="22">
        <f t="shared" si="6"/>
        <v>1.3735</v>
      </c>
      <c r="J60" s="22">
        <f t="shared" si="7"/>
        <v>0.0685</v>
      </c>
      <c r="K60" s="22">
        <f t="shared" si="8"/>
        <v>4.98725882781216</v>
      </c>
      <c r="L60" s="26">
        <f t="shared" si="5"/>
        <v>0.0308870378822454</v>
      </c>
      <c r="M60" s="26">
        <f t="shared" si="10"/>
        <v>1.39167959835691</v>
      </c>
      <c r="N60" s="26">
        <f t="shared" si="11"/>
        <v>1.40296348699224</v>
      </c>
      <c r="O60" s="26">
        <f t="shared" si="12"/>
        <v>1.41111296211775</v>
      </c>
      <c r="P60" s="27">
        <f t="shared" si="9"/>
        <v>1.3735</v>
      </c>
      <c r="Q60" s="26">
        <f t="shared" si="13"/>
        <v>1.41738178913738</v>
      </c>
      <c r="R60" s="20">
        <f t="shared" si="14"/>
        <v>1.42302373345504</v>
      </c>
      <c r="S60" s="20">
        <f t="shared" si="15"/>
        <v>1.42929256047467</v>
      </c>
    </row>
    <row r="61" spans="1:19">
      <c r="A61" s="15" t="s">
        <v>70</v>
      </c>
      <c r="B61" s="23">
        <v>513100</v>
      </c>
      <c r="F61" s="20">
        <v>4.182</v>
      </c>
      <c r="G61" s="20">
        <v>4.992</v>
      </c>
      <c r="H61" s="21">
        <v>4.302</v>
      </c>
      <c r="I61" s="22">
        <f t="shared" si="6"/>
        <v>4.587</v>
      </c>
      <c r="J61" s="22">
        <f t="shared" si="7"/>
        <v>-0.285</v>
      </c>
      <c r="K61" s="22">
        <f t="shared" si="8"/>
        <v>-6.21321124918248</v>
      </c>
      <c r="L61" s="26">
        <f t="shared" si="5"/>
        <v>-0.714</v>
      </c>
      <c r="M61" s="26">
        <f t="shared" si="10"/>
        <v>4.90875</v>
      </c>
      <c r="N61" s="26">
        <f t="shared" si="11"/>
        <v>4.9665</v>
      </c>
      <c r="O61" s="26">
        <f t="shared" si="12"/>
        <v>5.016</v>
      </c>
      <c r="P61" s="27">
        <f t="shared" si="9"/>
        <v>4.587</v>
      </c>
      <c r="Q61" s="26">
        <f t="shared" si="13"/>
        <v>5.049</v>
      </c>
      <c r="R61" s="20">
        <f t="shared" si="14"/>
        <v>5.082</v>
      </c>
      <c r="S61" s="20">
        <f t="shared" si="15"/>
        <v>5.115</v>
      </c>
    </row>
    <row r="62" spans="1:19">
      <c r="A62" s="15" t="s">
        <v>71</v>
      </c>
      <c r="B62" s="15">
        <v>513500</v>
      </c>
      <c r="F62" s="20">
        <v>2.043</v>
      </c>
      <c r="G62" s="20">
        <v>2.299</v>
      </c>
      <c r="H62" s="21">
        <v>2.272</v>
      </c>
      <c r="I62" s="22">
        <f t="shared" si="6"/>
        <v>2.171</v>
      </c>
      <c r="J62" s="22">
        <f t="shared" si="7"/>
        <v>0.101</v>
      </c>
      <c r="K62" s="22">
        <f t="shared" si="8"/>
        <v>4.65223399355134</v>
      </c>
      <c r="L62" s="26">
        <f t="shared" si="5"/>
        <v>0.0415476951163845</v>
      </c>
      <c r="M62" s="26">
        <f t="shared" si="10"/>
        <v>2.19973528069375</v>
      </c>
      <c r="N62" s="26">
        <f t="shared" si="11"/>
        <v>2.21757097215883</v>
      </c>
      <c r="O62" s="26">
        <f t="shared" si="12"/>
        <v>2.23045230488362</v>
      </c>
      <c r="P62" s="27">
        <f t="shared" si="9"/>
        <v>2.171</v>
      </c>
      <c r="Q62" s="26">
        <f t="shared" si="13"/>
        <v>2.24036102236422</v>
      </c>
      <c r="R62" s="20">
        <f t="shared" si="14"/>
        <v>2.24927886809676</v>
      </c>
      <c r="S62" s="20">
        <f t="shared" si="15"/>
        <v>2.25918758557736</v>
      </c>
    </row>
    <row r="63" spans="2:19">
      <c r="B63" s="23">
        <v>510300</v>
      </c>
      <c r="F63" s="15">
        <v>4.62</v>
      </c>
      <c r="G63" s="15">
        <v>5.165</v>
      </c>
      <c r="H63" s="15">
        <v>5.072</v>
      </c>
      <c r="I63" s="22">
        <f t="shared" si="6"/>
        <v>4.8925</v>
      </c>
      <c r="J63" s="22">
        <f t="shared" si="7"/>
        <v>0.1795</v>
      </c>
      <c r="K63" s="22">
        <f t="shared" si="8"/>
        <v>3.66888094021461</v>
      </c>
      <c r="L63" s="26">
        <f t="shared" si="5"/>
        <v>-0.278071942446043</v>
      </c>
      <c r="M63" s="26">
        <f t="shared" si="10"/>
        <v>5.23567895683453</v>
      </c>
      <c r="N63" s="26">
        <f t="shared" si="11"/>
        <v>5.29727517985611</v>
      </c>
      <c r="O63" s="26">
        <f t="shared" si="12"/>
        <v>5.35007194244604</v>
      </c>
      <c r="P63" s="27">
        <f t="shared" si="9"/>
        <v>4.8925</v>
      </c>
      <c r="Q63" s="26">
        <f t="shared" si="13"/>
        <v>5.38526978417266</v>
      </c>
      <c r="R63" s="20">
        <f t="shared" si="14"/>
        <v>5.42046762589928</v>
      </c>
      <c r="S63" s="20">
        <f t="shared" si="15"/>
        <v>5.4556654676259</v>
      </c>
    </row>
    <row r="64" spans="2:19">
      <c r="B64" s="15">
        <v>159915</v>
      </c>
      <c r="F64" s="15">
        <v>2.39</v>
      </c>
      <c r="G64" s="15">
        <v>2.792</v>
      </c>
      <c r="H64" s="15">
        <v>2.728</v>
      </c>
      <c r="I64" s="22">
        <f t="shared" si="6"/>
        <v>2.591</v>
      </c>
      <c r="J64" s="22">
        <f t="shared" si="7"/>
        <v>0.137</v>
      </c>
      <c r="K64" s="22">
        <f t="shared" si="8"/>
        <v>5.28753377074489</v>
      </c>
      <c r="L64" s="26">
        <f t="shared" si="5"/>
        <v>0.0660460976722952</v>
      </c>
      <c r="M64" s="26">
        <f t="shared" si="10"/>
        <v>2.62529438612506</v>
      </c>
      <c r="N64" s="26">
        <f t="shared" si="11"/>
        <v>2.64658055682337</v>
      </c>
      <c r="O64" s="26">
        <f t="shared" si="12"/>
        <v>2.6619539023277</v>
      </c>
      <c r="P64" s="27">
        <f t="shared" si="9"/>
        <v>2.591</v>
      </c>
      <c r="Q64" s="26">
        <f t="shared" si="13"/>
        <v>2.67377955271565</v>
      </c>
      <c r="R64" s="20">
        <f t="shared" si="14"/>
        <v>2.68442263806481</v>
      </c>
      <c r="S64" s="20">
        <f t="shared" si="15"/>
        <v>2.69624828845276</v>
      </c>
    </row>
    <row r="65" spans="2:19">
      <c r="B65" s="23">
        <v>159949</v>
      </c>
      <c r="F65" s="15">
        <v>0.971</v>
      </c>
      <c r="G65" s="15">
        <v>1.209</v>
      </c>
      <c r="H65" s="15">
        <v>1.179</v>
      </c>
      <c r="I65" s="22">
        <f t="shared" si="6"/>
        <v>1.09</v>
      </c>
      <c r="J65" s="22">
        <f t="shared" si="7"/>
        <v>0.089</v>
      </c>
      <c r="K65" s="22">
        <f t="shared" si="8"/>
        <v>8.1651376146789</v>
      </c>
      <c r="L65" s="26">
        <f t="shared" si="5"/>
        <v>-0.0129424460431655</v>
      </c>
      <c r="M65" s="26">
        <f t="shared" si="10"/>
        <v>1.16645683453237</v>
      </c>
      <c r="N65" s="26">
        <f t="shared" si="11"/>
        <v>1.18017985611511</v>
      </c>
      <c r="O65" s="26">
        <f t="shared" si="12"/>
        <v>1.19194244604317</v>
      </c>
      <c r="P65" s="27">
        <f t="shared" si="9"/>
        <v>1.09</v>
      </c>
      <c r="Q65" s="26">
        <f t="shared" si="13"/>
        <v>1.19978417266187</v>
      </c>
      <c r="R65" s="20">
        <f t="shared" si="14"/>
        <v>1.20762589928058</v>
      </c>
      <c r="S65" s="20">
        <f t="shared" si="15"/>
        <v>1.21546762589928</v>
      </c>
    </row>
  </sheetData>
  <sortState ref="A3:L51">
    <sortCondition ref="K3"/>
  </sortState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2"/>
  <sheetViews>
    <sheetView workbookViewId="0">
      <selection activeCell="A1" sqref="A1:G1"/>
    </sheetView>
  </sheetViews>
  <sheetFormatPr defaultColWidth="9" defaultRowHeight="13.5" outlineLevelCol="6"/>
  <cols>
    <col min="1" max="1" width="5.875" customWidth="1"/>
    <col min="2" max="2" width="28.375" customWidth="1"/>
    <col min="3" max="3" width="8.375" customWidth="1"/>
    <col min="4" max="4" width="10.375" customWidth="1"/>
    <col min="5" max="5" width="6" customWidth="1"/>
    <col min="6" max="6" width="7.5" customWidth="1"/>
    <col min="7" max="7" width="8.375" customWidth="1"/>
  </cols>
  <sheetData>
    <row r="1" spans="1:7">
      <c r="A1" s="56" t="s">
        <v>1</v>
      </c>
      <c r="B1" s="56" t="s">
        <v>72</v>
      </c>
      <c r="C1" s="56" t="s">
        <v>73</v>
      </c>
      <c r="D1" s="56" t="s">
        <v>74</v>
      </c>
      <c r="E1" s="56" t="s">
        <v>75</v>
      </c>
      <c r="F1" s="56" t="s">
        <v>76</v>
      </c>
      <c r="G1" s="56" t="s">
        <v>77</v>
      </c>
    </row>
    <row r="2" spans="1:7">
      <c r="A2" s="57">
        <v>515220</v>
      </c>
      <c r="B2" s="57" t="s">
        <v>78</v>
      </c>
      <c r="C2" s="58">
        <v>1.3084</v>
      </c>
      <c r="D2" s="58">
        <v>1.2327</v>
      </c>
      <c r="E2" s="59">
        <v>0.0614</v>
      </c>
      <c r="F2" s="58">
        <v>1.31</v>
      </c>
      <c r="G2" s="59">
        <v>-0.0012</v>
      </c>
    </row>
    <row r="3" spans="1:7">
      <c r="A3" s="57">
        <v>159945</v>
      </c>
      <c r="B3" s="57" t="s">
        <v>79</v>
      </c>
      <c r="C3" s="58">
        <v>0.6208</v>
      </c>
      <c r="D3" s="58">
        <v>0.6022</v>
      </c>
      <c r="E3" s="59">
        <v>0.0309</v>
      </c>
      <c r="F3" s="58">
        <v>0.626</v>
      </c>
      <c r="G3" s="59">
        <v>-0.0084</v>
      </c>
    </row>
    <row r="4" spans="1:7">
      <c r="A4" s="57">
        <v>515700</v>
      </c>
      <c r="B4" s="57" t="s">
        <v>80</v>
      </c>
      <c r="C4" s="58">
        <v>1.8811</v>
      </c>
      <c r="D4" s="58">
        <v>1.8287</v>
      </c>
      <c r="E4" s="59">
        <v>0.0287</v>
      </c>
      <c r="F4" s="58">
        <v>1.884</v>
      </c>
      <c r="G4" s="59">
        <v>-0.0015</v>
      </c>
    </row>
    <row r="5" spans="1:7">
      <c r="A5" s="57">
        <v>515030</v>
      </c>
      <c r="B5" s="57" t="s">
        <v>81</v>
      </c>
      <c r="C5" s="58">
        <v>1.5149</v>
      </c>
      <c r="D5" s="58">
        <v>1.475</v>
      </c>
      <c r="E5" s="59">
        <v>0.0271</v>
      </c>
      <c r="F5" s="58">
        <v>1.518</v>
      </c>
      <c r="G5" s="59">
        <v>-0.002</v>
      </c>
    </row>
    <row r="6" spans="1:7">
      <c r="A6" s="57">
        <v>159806</v>
      </c>
      <c r="B6" s="57" t="s">
        <v>82</v>
      </c>
      <c r="C6" s="58">
        <v>1.926</v>
      </c>
      <c r="D6" s="58">
        <v>1.8755</v>
      </c>
      <c r="E6" s="59">
        <v>0.0269</v>
      </c>
      <c r="F6" s="58">
        <v>1.924</v>
      </c>
      <c r="G6" s="59">
        <v>0.001</v>
      </c>
    </row>
    <row r="7" spans="1:7">
      <c r="A7" s="57">
        <v>159930</v>
      </c>
      <c r="B7" s="57" t="s">
        <v>83</v>
      </c>
      <c r="C7" s="58">
        <v>0.6673</v>
      </c>
      <c r="D7" s="58">
        <v>0.6508</v>
      </c>
      <c r="E7" s="59">
        <v>0.0254</v>
      </c>
      <c r="F7" s="58">
        <v>0.669</v>
      </c>
      <c r="G7" s="59">
        <v>-0.0025</v>
      </c>
    </row>
    <row r="8" spans="1:7">
      <c r="A8" s="57">
        <v>510410</v>
      </c>
      <c r="B8" s="57" t="s">
        <v>84</v>
      </c>
      <c r="C8" s="58">
        <v>0.7397</v>
      </c>
      <c r="D8" s="58">
        <v>0.7237</v>
      </c>
      <c r="E8" s="59">
        <v>0.0221</v>
      </c>
      <c r="F8" s="58">
        <v>0.737</v>
      </c>
      <c r="G8" s="59">
        <v>0.0037</v>
      </c>
    </row>
    <row r="9" spans="1:7">
      <c r="A9" s="57">
        <v>512400</v>
      </c>
      <c r="B9" s="57" t="s">
        <v>85</v>
      </c>
      <c r="C9" s="58">
        <v>0.9723</v>
      </c>
      <c r="D9" s="58">
        <v>0.9527</v>
      </c>
      <c r="E9" s="59">
        <v>0.0206</v>
      </c>
      <c r="F9" s="58">
        <v>0.976</v>
      </c>
      <c r="G9" s="59">
        <v>-0.0038</v>
      </c>
    </row>
    <row r="10" spans="1:7">
      <c r="A10" s="57">
        <v>510170</v>
      </c>
      <c r="B10" s="57" t="s">
        <v>86</v>
      </c>
      <c r="C10" s="58">
        <v>2.466</v>
      </c>
      <c r="D10" s="58">
        <v>2.418</v>
      </c>
      <c r="E10" s="59">
        <v>0.0199</v>
      </c>
      <c r="F10" s="58">
        <v>2.471</v>
      </c>
      <c r="G10" s="59">
        <v>-0.002</v>
      </c>
    </row>
    <row r="11" spans="1:7">
      <c r="A11" s="57">
        <v>515210</v>
      </c>
      <c r="B11" s="57" t="s">
        <v>87</v>
      </c>
      <c r="C11" s="58">
        <v>1.2567</v>
      </c>
      <c r="D11" s="58">
        <v>1.2325</v>
      </c>
      <c r="E11" s="59">
        <v>0.0196</v>
      </c>
      <c r="F11" s="58">
        <v>1.257</v>
      </c>
      <c r="G11" s="59">
        <v>-0.0002</v>
      </c>
    </row>
    <row r="12" spans="1:7">
      <c r="A12" s="57">
        <v>159981</v>
      </c>
      <c r="B12" s="57" t="s">
        <v>88</v>
      </c>
      <c r="C12" s="58">
        <v>1.0384</v>
      </c>
      <c r="D12" s="58">
        <v>1.0191</v>
      </c>
      <c r="E12" s="59">
        <v>0.0189</v>
      </c>
      <c r="F12" s="58">
        <v>1.033</v>
      </c>
      <c r="G12" s="59">
        <v>0.0052</v>
      </c>
    </row>
    <row r="13" spans="1:7">
      <c r="A13" s="57">
        <v>515790</v>
      </c>
      <c r="B13" s="57" t="s">
        <v>89</v>
      </c>
      <c r="C13" s="58">
        <v>1.0313</v>
      </c>
      <c r="D13" s="58">
        <v>1.0149</v>
      </c>
      <c r="E13" s="59">
        <v>0.0162</v>
      </c>
      <c r="F13" s="58">
        <v>1.031</v>
      </c>
      <c r="G13" s="59">
        <v>0.0003</v>
      </c>
    </row>
    <row r="14" spans="1:7">
      <c r="A14" s="57">
        <v>512580</v>
      </c>
      <c r="B14" s="57" t="s">
        <v>90</v>
      </c>
      <c r="C14" s="58">
        <v>1.1386</v>
      </c>
      <c r="D14" s="58">
        <v>1.1218</v>
      </c>
      <c r="E14" s="59">
        <v>0.015</v>
      </c>
      <c r="F14" s="58">
        <v>1.145</v>
      </c>
      <c r="G14" s="59">
        <v>-0.0056</v>
      </c>
    </row>
    <row r="15" spans="1:7">
      <c r="A15" s="57">
        <v>159980</v>
      </c>
      <c r="B15" s="57" t="s">
        <v>91</v>
      </c>
      <c r="C15" s="58">
        <v>1.1993</v>
      </c>
      <c r="D15" s="58">
        <v>1.1871</v>
      </c>
      <c r="E15" s="59">
        <v>0.0103</v>
      </c>
      <c r="F15" s="58">
        <v>1.205</v>
      </c>
      <c r="G15" s="59">
        <v>-0.0048</v>
      </c>
    </row>
    <row r="16" spans="1:7">
      <c r="A16" s="57">
        <v>515600</v>
      </c>
      <c r="B16" s="57" t="s">
        <v>92</v>
      </c>
      <c r="C16" s="58">
        <v>1.0086</v>
      </c>
      <c r="D16" s="58">
        <v>0.9991</v>
      </c>
      <c r="E16" s="59">
        <v>0.0095</v>
      </c>
      <c r="F16" s="58">
        <v>1.007</v>
      </c>
      <c r="G16" s="59">
        <v>0.0016</v>
      </c>
    </row>
    <row r="17" spans="1:7">
      <c r="A17" s="57">
        <v>159974</v>
      </c>
      <c r="B17" s="57" t="s">
        <v>93</v>
      </c>
      <c r="C17" s="58">
        <v>1.0501</v>
      </c>
      <c r="D17" s="58">
        <v>1.0402</v>
      </c>
      <c r="E17" s="59">
        <v>0.0095</v>
      </c>
      <c r="F17" s="58">
        <v>1.05</v>
      </c>
      <c r="G17" s="59">
        <v>0.0001</v>
      </c>
    </row>
    <row r="18" spans="1:7">
      <c r="A18" s="57">
        <v>515680</v>
      </c>
      <c r="B18" s="57" t="s">
        <v>94</v>
      </c>
      <c r="C18" s="58">
        <v>1.0283</v>
      </c>
      <c r="D18" s="58">
        <v>1.0188</v>
      </c>
      <c r="E18" s="59">
        <v>0.0093</v>
      </c>
      <c r="F18" s="58">
        <v>1.026</v>
      </c>
      <c r="G18" s="59">
        <v>0.0022</v>
      </c>
    </row>
    <row r="19" spans="1:7">
      <c r="A19" s="57">
        <v>515900</v>
      </c>
      <c r="B19" s="57" t="s">
        <v>95</v>
      </c>
      <c r="C19" s="58">
        <v>1.0254</v>
      </c>
      <c r="D19" s="58">
        <v>1.0161</v>
      </c>
      <c r="E19" s="59">
        <v>0.0092</v>
      </c>
      <c r="F19" s="58">
        <v>1.021</v>
      </c>
      <c r="G19" s="59">
        <v>0.0043</v>
      </c>
    </row>
    <row r="20" spans="1:7">
      <c r="A20" s="57">
        <v>515100</v>
      </c>
      <c r="B20" s="57" t="s">
        <v>96</v>
      </c>
      <c r="C20" s="58">
        <v>1.2189</v>
      </c>
      <c r="D20" s="58">
        <v>1.2084</v>
      </c>
      <c r="E20" s="59">
        <v>0.0087</v>
      </c>
      <c r="F20" s="58">
        <v>1.216</v>
      </c>
      <c r="G20" s="59">
        <v>0.0024</v>
      </c>
    </row>
    <row r="21" spans="1:7">
      <c r="A21" s="57">
        <v>510890</v>
      </c>
      <c r="B21" s="57" t="s">
        <v>97</v>
      </c>
      <c r="C21" s="58">
        <v>1.0887</v>
      </c>
      <c r="D21" s="58">
        <v>1.0798</v>
      </c>
      <c r="E21" s="59">
        <v>0.0082</v>
      </c>
      <c r="F21" s="58">
        <v>1.099</v>
      </c>
      <c r="G21" s="59">
        <v>-0.0095</v>
      </c>
    </row>
    <row r="22" spans="1:7">
      <c r="A22" s="57">
        <v>518860</v>
      </c>
      <c r="B22" s="57" t="s">
        <v>98</v>
      </c>
      <c r="C22" s="58">
        <v>3.8995</v>
      </c>
      <c r="D22" s="58">
        <v>3.8697</v>
      </c>
      <c r="E22" s="59">
        <v>0.0077</v>
      </c>
      <c r="F22" s="58">
        <v>3.889</v>
      </c>
      <c r="G22" s="59">
        <v>0.0027</v>
      </c>
    </row>
    <row r="23" spans="1:7">
      <c r="A23" s="57">
        <v>159944</v>
      </c>
      <c r="B23" s="57" t="s">
        <v>99</v>
      </c>
      <c r="C23" s="58">
        <v>0.9644</v>
      </c>
      <c r="D23" s="58">
        <v>0.9571</v>
      </c>
      <c r="E23" s="59">
        <v>0.0076</v>
      </c>
      <c r="F23" s="58">
        <v>0.966</v>
      </c>
      <c r="G23" s="59">
        <v>-0.0017</v>
      </c>
    </row>
    <row r="24" spans="1:7">
      <c r="A24" s="57">
        <v>518680</v>
      </c>
      <c r="B24" s="57" t="s">
        <v>100</v>
      </c>
      <c r="C24" s="58">
        <v>3.8952</v>
      </c>
      <c r="D24" s="58">
        <v>3.8661</v>
      </c>
      <c r="E24" s="59">
        <v>0.0075</v>
      </c>
      <c r="F24" s="58">
        <v>3.893</v>
      </c>
      <c r="G24" s="59">
        <v>0.0006</v>
      </c>
    </row>
    <row r="25" spans="1:7">
      <c r="A25" s="57">
        <v>518600</v>
      </c>
      <c r="B25" s="57" t="s">
        <v>101</v>
      </c>
      <c r="C25" s="58">
        <v>3.8968</v>
      </c>
      <c r="D25" s="58">
        <v>3.8676</v>
      </c>
      <c r="E25" s="59">
        <v>0.0075</v>
      </c>
      <c r="F25" s="58">
        <v>3.893</v>
      </c>
      <c r="G25" s="59">
        <v>0.001</v>
      </c>
    </row>
    <row r="26" spans="1:7">
      <c r="A26" s="57">
        <v>518890</v>
      </c>
      <c r="B26" s="57" t="s">
        <v>102</v>
      </c>
      <c r="C26" s="58">
        <v>3.926</v>
      </c>
      <c r="D26" s="58">
        <v>3.8967</v>
      </c>
      <c r="E26" s="59">
        <v>0.0075</v>
      </c>
      <c r="F26" s="58">
        <v>3.93</v>
      </c>
      <c r="G26" s="59">
        <v>-0.001</v>
      </c>
    </row>
    <row r="27" spans="1:7">
      <c r="A27" s="57">
        <v>510880</v>
      </c>
      <c r="B27" s="57" t="s">
        <v>103</v>
      </c>
      <c r="C27" s="58">
        <v>2.8106</v>
      </c>
      <c r="D27" s="58">
        <v>2.7901</v>
      </c>
      <c r="E27" s="59">
        <v>0.0073</v>
      </c>
      <c r="F27" s="58">
        <v>2.813</v>
      </c>
      <c r="G27" s="59">
        <v>-0.0009</v>
      </c>
    </row>
    <row r="28" spans="1:7">
      <c r="A28" s="57">
        <v>512340</v>
      </c>
      <c r="B28" s="57" t="s">
        <v>104</v>
      </c>
      <c r="C28" s="58">
        <v>0.9555</v>
      </c>
      <c r="D28" s="58">
        <v>0.949</v>
      </c>
      <c r="E28" s="59">
        <v>0.0068</v>
      </c>
      <c r="F28" s="58">
        <v>0.964</v>
      </c>
      <c r="G28" s="59">
        <v>-0.0089</v>
      </c>
    </row>
    <row r="29" spans="1:7">
      <c r="A29" s="57">
        <v>510160</v>
      </c>
      <c r="B29" s="57" t="s">
        <v>105</v>
      </c>
      <c r="C29" s="58">
        <v>0.6856</v>
      </c>
      <c r="D29" s="58">
        <v>0.6812</v>
      </c>
      <c r="E29" s="59">
        <v>0.0065</v>
      </c>
      <c r="F29" s="58">
        <v>0.687</v>
      </c>
      <c r="G29" s="59">
        <v>-0.002</v>
      </c>
    </row>
    <row r="30" spans="1:7">
      <c r="A30" s="57">
        <v>512890</v>
      </c>
      <c r="B30" s="57" t="s">
        <v>106</v>
      </c>
      <c r="C30" s="58">
        <v>1.3626</v>
      </c>
      <c r="D30" s="58">
        <v>1.3538</v>
      </c>
      <c r="E30" s="59">
        <v>0.0065</v>
      </c>
      <c r="F30" s="58">
        <v>1.363</v>
      </c>
      <c r="G30" s="59">
        <v>-0.0003</v>
      </c>
    </row>
    <row r="31" spans="1:7">
      <c r="A31" s="57">
        <v>515450</v>
      </c>
      <c r="B31" s="57" t="s">
        <v>107</v>
      </c>
      <c r="C31" s="58">
        <v>1.0994</v>
      </c>
      <c r="D31" s="58">
        <v>1.0926</v>
      </c>
      <c r="E31" s="59">
        <v>0.0062</v>
      </c>
      <c r="F31" s="58">
        <v>1.095</v>
      </c>
      <c r="G31" s="59">
        <v>0.004</v>
      </c>
    </row>
    <row r="32" spans="1:7">
      <c r="A32" s="57">
        <v>159985</v>
      </c>
      <c r="B32" s="57" t="s">
        <v>108</v>
      </c>
      <c r="C32" s="58">
        <v>1.1599</v>
      </c>
      <c r="D32" s="58">
        <v>1.1529</v>
      </c>
      <c r="E32" s="59">
        <v>0.0061</v>
      </c>
      <c r="F32" s="58">
        <v>1.165</v>
      </c>
      <c r="G32" s="59">
        <v>-0.0044</v>
      </c>
    </row>
    <row r="33" spans="1:7">
      <c r="A33" s="57">
        <v>512310</v>
      </c>
      <c r="B33" s="57" t="s">
        <v>109</v>
      </c>
      <c r="C33" s="58">
        <v>0.6853</v>
      </c>
      <c r="D33" s="58">
        <v>0.6818</v>
      </c>
      <c r="E33" s="59">
        <v>0.0051</v>
      </c>
      <c r="F33" s="58">
        <v>0.683</v>
      </c>
      <c r="G33" s="59">
        <v>0.0034</v>
      </c>
    </row>
    <row r="34" spans="1:7">
      <c r="A34" s="57">
        <v>515150</v>
      </c>
      <c r="B34" s="57" t="s">
        <v>110</v>
      </c>
      <c r="C34" s="58">
        <v>1.1245</v>
      </c>
      <c r="D34" s="58">
        <v>1.1194</v>
      </c>
      <c r="E34" s="59">
        <v>0.0046</v>
      </c>
      <c r="F34" s="58">
        <v>1.122</v>
      </c>
      <c r="G34" s="59">
        <v>0.0022</v>
      </c>
    </row>
    <row r="35" spans="1:7">
      <c r="A35" s="57">
        <v>515080</v>
      </c>
      <c r="B35" s="57" t="s">
        <v>111</v>
      </c>
      <c r="C35" s="58">
        <v>1.2617</v>
      </c>
      <c r="D35" s="58">
        <v>1.2561</v>
      </c>
      <c r="E35" s="59">
        <v>0.0045</v>
      </c>
      <c r="F35" s="58">
        <v>1.262</v>
      </c>
      <c r="G35" s="59">
        <v>-0.0002</v>
      </c>
    </row>
    <row r="36" spans="1:7">
      <c r="A36" s="57">
        <v>515110</v>
      </c>
      <c r="B36" s="57" t="s">
        <v>112</v>
      </c>
      <c r="C36" s="58">
        <v>1.1201</v>
      </c>
      <c r="D36" s="58">
        <v>1.1151</v>
      </c>
      <c r="E36" s="59">
        <v>0.0045</v>
      </c>
      <c r="F36" s="58">
        <v>1.12</v>
      </c>
      <c r="G36" s="59">
        <v>0.0001</v>
      </c>
    </row>
    <row r="37" spans="1:7">
      <c r="A37" s="57">
        <v>518880</v>
      </c>
      <c r="B37" s="57" t="s">
        <v>113</v>
      </c>
      <c r="C37" s="58">
        <v>3.8331</v>
      </c>
      <c r="D37" s="58">
        <v>3.8163</v>
      </c>
      <c r="E37" s="59">
        <v>0.0044</v>
      </c>
      <c r="F37" s="58">
        <v>3.838</v>
      </c>
      <c r="G37" s="59">
        <v>-0.0013</v>
      </c>
    </row>
    <row r="38" spans="1:7">
      <c r="A38" s="57">
        <v>515200</v>
      </c>
      <c r="B38" s="57" t="s">
        <v>114</v>
      </c>
      <c r="C38" s="58">
        <v>1.776</v>
      </c>
      <c r="D38" s="58">
        <v>1.7683</v>
      </c>
      <c r="E38" s="59">
        <v>0.0044</v>
      </c>
      <c r="F38" s="58">
        <v>1.772</v>
      </c>
      <c r="G38" s="59">
        <v>0.0023</v>
      </c>
    </row>
    <row r="39" spans="1:7">
      <c r="A39" s="57">
        <v>515180</v>
      </c>
      <c r="B39" s="57" t="s">
        <v>115</v>
      </c>
      <c r="C39" s="58">
        <v>1.1309</v>
      </c>
      <c r="D39" s="58">
        <v>1.126</v>
      </c>
      <c r="E39" s="59">
        <v>0.0044</v>
      </c>
      <c r="F39" s="58">
        <v>1.131</v>
      </c>
      <c r="G39" s="59">
        <v>-0.0001</v>
      </c>
    </row>
    <row r="40" spans="1:7">
      <c r="A40" s="57">
        <v>159934</v>
      </c>
      <c r="B40" s="57" t="s">
        <v>116</v>
      </c>
      <c r="C40" s="58">
        <v>3.8019</v>
      </c>
      <c r="D40" s="58">
        <v>3.7858</v>
      </c>
      <c r="E40" s="59">
        <v>0.0043</v>
      </c>
      <c r="F40" s="58">
        <v>3.803</v>
      </c>
      <c r="G40" s="59">
        <v>-0.0003</v>
      </c>
    </row>
    <row r="41" spans="1:7">
      <c r="A41" s="57">
        <v>159937</v>
      </c>
      <c r="B41" s="57" t="s">
        <v>117</v>
      </c>
      <c r="C41" s="58">
        <v>3.8321</v>
      </c>
      <c r="D41" s="58">
        <v>3.8158</v>
      </c>
      <c r="E41" s="59">
        <v>0.0043</v>
      </c>
      <c r="F41" s="58">
        <v>3.839</v>
      </c>
      <c r="G41" s="59">
        <v>-0.0018</v>
      </c>
    </row>
    <row r="42" spans="1:7">
      <c r="A42" s="57">
        <v>515890</v>
      </c>
      <c r="B42" s="57" t="s">
        <v>118</v>
      </c>
      <c r="C42" s="58">
        <v>1.2294</v>
      </c>
      <c r="D42" s="58">
        <v>1.2241</v>
      </c>
      <c r="E42" s="59">
        <v>0.0043</v>
      </c>
      <c r="F42" s="58">
        <v>1.229</v>
      </c>
      <c r="G42" s="59">
        <v>0.0003</v>
      </c>
    </row>
    <row r="43" spans="1:7">
      <c r="A43" s="57">
        <v>515990</v>
      </c>
      <c r="B43" s="57" t="s">
        <v>119</v>
      </c>
      <c r="C43" s="58">
        <v>1.1595</v>
      </c>
      <c r="D43" s="58">
        <v>1.1545</v>
      </c>
      <c r="E43" s="59">
        <v>0.0043</v>
      </c>
      <c r="F43" s="58">
        <v>1.168</v>
      </c>
      <c r="G43" s="59">
        <v>-0.0073</v>
      </c>
    </row>
    <row r="44" spans="1:7">
      <c r="A44" s="57">
        <v>518850</v>
      </c>
      <c r="B44" s="57" t="s">
        <v>120</v>
      </c>
      <c r="C44" s="58">
        <v>3.8859</v>
      </c>
      <c r="D44" s="58">
        <v>3.8693</v>
      </c>
      <c r="E44" s="59">
        <v>0.0043</v>
      </c>
      <c r="F44" s="58">
        <v>3.891</v>
      </c>
      <c r="G44" s="59">
        <v>-0.0013</v>
      </c>
    </row>
    <row r="45" spans="1:7">
      <c r="A45" s="57">
        <v>518800</v>
      </c>
      <c r="B45" s="57" t="s">
        <v>121</v>
      </c>
      <c r="C45" s="58">
        <v>3.796</v>
      </c>
      <c r="D45" s="58">
        <v>3.78</v>
      </c>
      <c r="E45" s="59">
        <v>0.0042</v>
      </c>
      <c r="F45" s="58">
        <v>3.804</v>
      </c>
      <c r="G45" s="59">
        <v>-0.0021</v>
      </c>
    </row>
    <row r="46" spans="1:7">
      <c r="A46" s="57">
        <v>159812</v>
      </c>
      <c r="B46" s="57" t="s">
        <v>122</v>
      </c>
      <c r="C46" s="58">
        <v>3.8833</v>
      </c>
      <c r="D46" s="58">
        <v>3.8672</v>
      </c>
      <c r="E46" s="59">
        <v>0.0042</v>
      </c>
      <c r="F46" s="58">
        <v>3.893</v>
      </c>
      <c r="G46" s="59">
        <v>-0.0025</v>
      </c>
    </row>
    <row r="47" spans="1:7">
      <c r="A47" s="57">
        <v>159987</v>
      </c>
      <c r="B47" s="57" t="s">
        <v>123</v>
      </c>
      <c r="C47" s="58">
        <v>1.5551</v>
      </c>
      <c r="D47" s="58">
        <v>1.5487</v>
      </c>
      <c r="E47" s="59">
        <v>0.0041</v>
      </c>
      <c r="F47" s="58">
        <v>1.552</v>
      </c>
      <c r="G47" s="59">
        <v>0.002</v>
      </c>
    </row>
    <row r="48" spans="1:7">
      <c r="A48" s="57">
        <v>518660</v>
      </c>
      <c r="B48" s="57" t="s">
        <v>124</v>
      </c>
      <c r="C48" s="58">
        <v>3.8839</v>
      </c>
      <c r="D48" s="58">
        <v>3.8679</v>
      </c>
      <c r="E48" s="59">
        <v>0.0041</v>
      </c>
      <c r="F48" s="58">
        <v>3.89</v>
      </c>
      <c r="G48" s="59">
        <v>-0.0016</v>
      </c>
    </row>
    <row r="49" spans="1:7">
      <c r="A49" s="57">
        <v>159807</v>
      </c>
      <c r="B49" s="57" t="s">
        <v>125</v>
      </c>
      <c r="C49" s="58">
        <v>1.5073</v>
      </c>
      <c r="D49" s="58">
        <v>1.5016</v>
      </c>
      <c r="E49" s="59">
        <v>0.0038</v>
      </c>
      <c r="F49" s="58">
        <v>1.505</v>
      </c>
      <c r="G49" s="59">
        <v>0.0015</v>
      </c>
    </row>
    <row r="50" spans="1:7">
      <c r="A50" s="57">
        <v>512780</v>
      </c>
      <c r="B50" s="57" t="s">
        <v>126</v>
      </c>
      <c r="C50" s="58">
        <v>0.8694</v>
      </c>
      <c r="D50" s="58">
        <v>0.8666</v>
      </c>
      <c r="E50" s="59">
        <v>0.0032</v>
      </c>
      <c r="F50" s="58">
        <v>0.865</v>
      </c>
      <c r="G50" s="59">
        <v>0.0051</v>
      </c>
    </row>
    <row r="51" spans="1:7">
      <c r="A51" s="57">
        <v>511380</v>
      </c>
      <c r="B51" s="57" t="s">
        <v>127</v>
      </c>
      <c r="C51" s="58">
        <v>10.2223</v>
      </c>
      <c r="D51" s="58">
        <v>10.1893</v>
      </c>
      <c r="E51" s="59">
        <v>0.0032</v>
      </c>
      <c r="F51" s="58">
        <v>10.199</v>
      </c>
      <c r="G51" s="59">
        <v>0.0023</v>
      </c>
    </row>
    <row r="52" spans="1:7">
      <c r="A52" s="57">
        <v>159990</v>
      </c>
      <c r="B52" s="57" t="s">
        <v>128</v>
      </c>
      <c r="C52" s="58">
        <v>1.1273</v>
      </c>
      <c r="D52" s="58">
        <v>1.1238</v>
      </c>
      <c r="E52" s="59">
        <v>0.0031</v>
      </c>
      <c r="F52" s="58">
        <v>1.127</v>
      </c>
      <c r="G52" s="59">
        <v>0.0003</v>
      </c>
    </row>
    <row r="53" spans="1:7">
      <c r="A53" s="57">
        <v>159805</v>
      </c>
      <c r="B53" s="57" t="s">
        <v>129</v>
      </c>
      <c r="C53" s="58">
        <v>1.0792</v>
      </c>
      <c r="D53" s="58">
        <v>1.0761</v>
      </c>
      <c r="E53" s="59">
        <v>0.0029</v>
      </c>
      <c r="F53" s="58">
        <v>1.085</v>
      </c>
      <c r="G53" s="59">
        <v>-0.0054</v>
      </c>
    </row>
    <row r="54" spans="1:7">
      <c r="A54" s="57">
        <v>159909</v>
      </c>
      <c r="B54" s="57" t="s">
        <v>130</v>
      </c>
      <c r="C54" s="58">
        <v>6.8782</v>
      </c>
      <c r="D54" s="58">
        <v>6.8597</v>
      </c>
      <c r="E54" s="59">
        <v>0.0027</v>
      </c>
      <c r="F54" s="58">
        <v>6.853</v>
      </c>
      <c r="G54" s="59">
        <v>0.0037</v>
      </c>
    </row>
    <row r="55" spans="1:7">
      <c r="A55" s="57">
        <v>159959</v>
      </c>
      <c r="B55" s="57" t="s">
        <v>131</v>
      </c>
      <c r="C55" s="58">
        <v>1.1601</v>
      </c>
      <c r="D55" s="58">
        <v>1.157</v>
      </c>
      <c r="E55" s="59">
        <v>0.0027</v>
      </c>
      <c r="F55" s="58">
        <v>1.155</v>
      </c>
      <c r="G55" s="59">
        <v>0.0044</v>
      </c>
    </row>
    <row r="56" spans="1:7">
      <c r="A56" s="57">
        <v>515510</v>
      </c>
      <c r="B56" s="57" t="s">
        <v>132</v>
      </c>
      <c r="C56" s="58">
        <v>1.3069</v>
      </c>
      <c r="D56" s="58">
        <v>1.3034</v>
      </c>
      <c r="E56" s="59">
        <v>0.0027</v>
      </c>
      <c r="F56" s="58">
        <v>1.305</v>
      </c>
      <c r="G56" s="59">
        <v>0.0015</v>
      </c>
    </row>
    <row r="57" spans="1:7">
      <c r="A57" s="57">
        <v>512960</v>
      </c>
      <c r="B57" s="57" t="s">
        <v>133</v>
      </c>
      <c r="C57" s="58">
        <v>1.1027</v>
      </c>
      <c r="D57" s="58">
        <v>1.0998</v>
      </c>
      <c r="E57" s="59">
        <v>0.0026</v>
      </c>
      <c r="F57" s="58">
        <v>1.102</v>
      </c>
      <c r="G57" s="59">
        <v>0.0006</v>
      </c>
    </row>
    <row r="58" spans="1:7">
      <c r="A58" s="57">
        <v>512950</v>
      </c>
      <c r="B58" s="57" t="s">
        <v>134</v>
      </c>
      <c r="C58" s="58">
        <v>1.1076</v>
      </c>
      <c r="D58" s="58">
        <v>1.1047</v>
      </c>
      <c r="E58" s="59">
        <v>0.0026</v>
      </c>
      <c r="F58" s="58">
        <v>1.105</v>
      </c>
      <c r="G58" s="59">
        <v>0.0023</v>
      </c>
    </row>
    <row r="59" spans="1:7">
      <c r="A59" s="57">
        <v>512980</v>
      </c>
      <c r="B59" s="57" t="s">
        <v>135</v>
      </c>
      <c r="C59" s="58">
        <v>0.8633</v>
      </c>
      <c r="D59" s="58">
        <v>0.8611</v>
      </c>
      <c r="E59" s="59">
        <v>0.0026</v>
      </c>
      <c r="F59" s="58">
        <v>0.864</v>
      </c>
      <c r="G59" s="59">
        <v>-0.0008</v>
      </c>
    </row>
    <row r="60" spans="1:7">
      <c r="A60" s="57">
        <v>159949</v>
      </c>
      <c r="B60" s="57" t="s">
        <v>136</v>
      </c>
      <c r="C60" s="58">
        <v>1.1554</v>
      </c>
      <c r="D60" s="58">
        <v>1.1525</v>
      </c>
      <c r="E60" s="59">
        <v>0.0025</v>
      </c>
      <c r="F60" s="58">
        <v>1.158</v>
      </c>
      <c r="G60" s="59">
        <v>-0.0023</v>
      </c>
    </row>
    <row r="61" spans="1:7">
      <c r="A61" s="57">
        <v>512190</v>
      </c>
      <c r="B61" s="57" t="s">
        <v>137</v>
      </c>
      <c r="C61" s="58">
        <v>1.4712</v>
      </c>
      <c r="D61" s="58">
        <v>1.4679</v>
      </c>
      <c r="E61" s="59">
        <v>0.0022</v>
      </c>
      <c r="F61" s="58">
        <v>1.46</v>
      </c>
      <c r="G61" s="59">
        <v>0.0076</v>
      </c>
    </row>
    <row r="62" spans="1:7">
      <c r="A62" s="57">
        <v>510130</v>
      </c>
      <c r="B62" s="57" t="s">
        <v>138</v>
      </c>
      <c r="C62" s="58">
        <v>5.3579</v>
      </c>
      <c r="D62" s="58">
        <v>5.3466</v>
      </c>
      <c r="E62" s="59">
        <v>0.0021</v>
      </c>
      <c r="F62" s="58">
        <v>5.259</v>
      </c>
      <c r="G62" s="59">
        <v>0.0185</v>
      </c>
    </row>
    <row r="63" spans="1:7">
      <c r="A63" s="57">
        <v>515300</v>
      </c>
      <c r="B63" s="57" t="s">
        <v>139</v>
      </c>
      <c r="C63" s="58">
        <v>1.0931</v>
      </c>
      <c r="D63" s="58">
        <v>1.0908</v>
      </c>
      <c r="E63" s="59">
        <v>0.0021</v>
      </c>
      <c r="F63" s="58">
        <v>1.092</v>
      </c>
      <c r="G63" s="59">
        <v>0.001</v>
      </c>
    </row>
    <row r="64" spans="1:7">
      <c r="A64" s="57">
        <v>159902</v>
      </c>
      <c r="B64" s="57" t="s">
        <v>140</v>
      </c>
      <c r="C64" s="58">
        <v>4.483</v>
      </c>
      <c r="D64" s="58">
        <v>4.475</v>
      </c>
      <c r="E64" s="59">
        <v>0.0018</v>
      </c>
      <c r="F64" s="58">
        <v>4.481</v>
      </c>
      <c r="G64" s="59">
        <v>0.0004</v>
      </c>
    </row>
    <row r="65" spans="1:7">
      <c r="A65" s="57">
        <v>159973</v>
      </c>
      <c r="B65" s="57" t="s">
        <v>141</v>
      </c>
      <c r="C65" s="58">
        <v>1.7485</v>
      </c>
      <c r="D65" s="58">
        <v>1.7453</v>
      </c>
      <c r="E65" s="59">
        <v>0.0018</v>
      </c>
      <c r="F65" s="58">
        <v>1.73</v>
      </c>
      <c r="G65" s="59">
        <v>0.0106</v>
      </c>
    </row>
    <row r="66" spans="1:7">
      <c r="A66" s="57">
        <v>515580</v>
      </c>
      <c r="B66" s="57" t="s">
        <v>142</v>
      </c>
      <c r="C66" s="58">
        <v>1.5586</v>
      </c>
      <c r="D66" s="58">
        <v>1.556</v>
      </c>
      <c r="E66" s="59">
        <v>0.0017</v>
      </c>
      <c r="F66" s="58">
        <v>1.554</v>
      </c>
      <c r="G66" s="59">
        <v>0.003</v>
      </c>
    </row>
    <row r="67" spans="1:7">
      <c r="A67" s="57">
        <v>515690</v>
      </c>
      <c r="B67" s="57" t="s">
        <v>143</v>
      </c>
      <c r="C67" s="58">
        <v>1.2562</v>
      </c>
      <c r="D67" s="58">
        <v>1.2541</v>
      </c>
      <c r="E67" s="59">
        <v>0.0017</v>
      </c>
      <c r="F67" s="58">
        <v>1.254</v>
      </c>
      <c r="G67" s="59">
        <v>0.0018</v>
      </c>
    </row>
    <row r="68" spans="1:7">
      <c r="A68" s="57">
        <v>512770</v>
      </c>
      <c r="B68" s="57" t="s">
        <v>144</v>
      </c>
      <c r="C68" s="58">
        <v>1.9666</v>
      </c>
      <c r="D68" s="58">
        <v>1.9635</v>
      </c>
      <c r="E68" s="59">
        <v>0.0016</v>
      </c>
      <c r="F68" s="58">
        <v>1.967</v>
      </c>
      <c r="G68" s="59">
        <v>-0.0002</v>
      </c>
    </row>
    <row r="69" spans="1:7">
      <c r="A69" s="57">
        <v>511180</v>
      </c>
      <c r="B69" s="57" t="s">
        <v>145</v>
      </c>
      <c r="C69" s="58">
        <v>9.9933</v>
      </c>
      <c r="D69" s="58">
        <v>9.979</v>
      </c>
      <c r="E69" s="59">
        <v>0.0014</v>
      </c>
      <c r="F69" s="58">
        <v>9.99</v>
      </c>
      <c r="G69" s="59">
        <v>0.0003</v>
      </c>
    </row>
    <row r="70" spans="1:7">
      <c r="A70" s="57">
        <v>510220</v>
      </c>
      <c r="B70" s="57" t="s">
        <v>146</v>
      </c>
      <c r="C70" s="58">
        <v>5.3131</v>
      </c>
      <c r="D70" s="58">
        <v>5.3083</v>
      </c>
      <c r="E70" s="59">
        <v>0.0009</v>
      </c>
      <c r="F70" s="58">
        <v>5.35</v>
      </c>
      <c r="G70" s="59">
        <v>-0.0069</v>
      </c>
    </row>
    <row r="71" spans="1:7">
      <c r="A71" s="57">
        <v>512710</v>
      </c>
      <c r="B71" s="57" t="s">
        <v>147</v>
      </c>
      <c r="C71" s="58">
        <v>1.528</v>
      </c>
      <c r="D71" s="58">
        <v>1.5267</v>
      </c>
      <c r="E71" s="59">
        <v>0.0009</v>
      </c>
      <c r="F71" s="58">
        <v>1.52</v>
      </c>
      <c r="G71" s="59">
        <v>0.0052</v>
      </c>
    </row>
    <row r="72" spans="1:7">
      <c r="A72" s="57">
        <v>512690</v>
      </c>
      <c r="B72" s="57" t="s">
        <v>148</v>
      </c>
      <c r="C72" s="58">
        <v>2.5117</v>
      </c>
      <c r="D72" s="58">
        <v>2.5097</v>
      </c>
      <c r="E72" s="59">
        <v>0.0008</v>
      </c>
      <c r="F72" s="58">
        <v>2.513</v>
      </c>
      <c r="G72" s="59">
        <v>-0.0005</v>
      </c>
    </row>
    <row r="73" spans="1:7">
      <c r="A73" s="57">
        <v>511060</v>
      </c>
      <c r="B73" s="57" t="s">
        <v>149</v>
      </c>
      <c r="C73" s="58">
        <v>101.0165</v>
      </c>
      <c r="D73" s="58">
        <v>100.9621</v>
      </c>
      <c r="E73" s="59">
        <v>0.0005</v>
      </c>
      <c r="F73" s="58">
        <v>100.55</v>
      </c>
      <c r="G73" s="59">
        <v>0.0046</v>
      </c>
    </row>
    <row r="74" spans="1:7">
      <c r="A74" s="57">
        <v>512010</v>
      </c>
      <c r="B74" s="57" t="s">
        <v>150</v>
      </c>
      <c r="C74" s="58">
        <v>2.905</v>
      </c>
      <c r="D74" s="58">
        <v>2.9037</v>
      </c>
      <c r="E74" s="59">
        <v>0.0004</v>
      </c>
      <c r="F74" s="58">
        <v>2.92</v>
      </c>
      <c r="G74" s="59">
        <v>-0.0052</v>
      </c>
    </row>
    <row r="75" spans="1:7">
      <c r="A75" s="57">
        <v>159988</v>
      </c>
      <c r="B75" s="57" t="s">
        <v>151</v>
      </c>
      <c r="C75" s="58">
        <v>1.0001</v>
      </c>
      <c r="D75" s="58">
        <v>0.9997</v>
      </c>
      <c r="E75" s="59">
        <v>0.0004</v>
      </c>
      <c r="F75" s="58">
        <v>0.998</v>
      </c>
      <c r="G75" s="59">
        <v>0.0021</v>
      </c>
    </row>
    <row r="76" spans="1:7">
      <c r="A76" s="57">
        <v>512810</v>
      </c>
      <c r="B76" s="57" t="s">
        <v>152</v>
      </c>
      <c r="C76" s="58">
        <v>1.1029</v>
      </c>
      <c r="D76" s="58">
        <v>1.1026</v>
      </c>
      <c r="E76" s="59">
        <v>0.0003</v>
      </c>
      <c r="F76" s="58">
        <v>1.104</v>
      </c>
      <c r="G76" s="59">
        <v>-0.001</v>
      </c>
    </row>
    <row r="77" spans="1:7">
      <c r="A77" s="57">
        <v>512670</v>
      </c>
      <c r="B77" s="57" t="s">
        <v>153</v>
      </c>
      <c r="C77" s="58">
        <v>1.7226</v>
      </c>
      <c r="D77" s="58">
        <v>1.7221</v>
      </c>
      <c r="E77" s="59">
        <v>0.0003</v>
      </c>
      <c r="F77" s="58">
        <v>1.726</v>
      </c>
      <c r="G77" s="59">
        <v>-0.002</v>
      </c>
    </row>
    <row r="78" spans="1:7">
      <c r="A78" s="57">
        <v>512350</v>
      </c>
      <c r="B78" s="57" t="s">
        <v>154</v>
      </c>
      <c r="C78" s="58">
        <v>1.0401</v>
      </c>
      <c r="D78" s="58">
        <v>1.0398</v>
      </c>
      <c r="E78" s="59">
        <v>0.0003</v>
      </c>
      <c r="F78" s="58">
        <v>1.034</v>
      </c>
      <c r="G78" s="59">
        <v>0.0059</v>
      </c>
    </row>
    <row r="79" spans="1:7">
      <c r="A79" s="57">
        <v>159936</v>
      </c>
      <c r="B79" s="57" t="s">
        <v>155</v>
      </c>
      <c r="C79" s="58">
        <v>1.9269</v>
      </c>
      <c r="D79" s="58">
        <v>1.9265</v>
      </c>
      <c r="E79" s="59">
        <v>0.0002</v>
      </c>
      <c r="F79" s="58">
        <v>1.922</v>
      </c>
      <c r="G79" s="59">
        <v>0.0025</v>
      </c>
    </row>
    <row r="80" spans="1:7">
      <c r="A80" s="57">
        <v>511220</v>
      </c>
      <c r="B80" s="57" t="s">
        <v>156</v>
      </c>
      <c r="C80" s="58">
        <v>96.926</v>
      </c>
      <c r="D80" s="58">
        <v>97.806</v>
      </c>
      <c r="E80" s="59">
        <v>0.0002</v>
      </c>
      <c r="F80" s="58">
        <v>94.846</v>
      </c>
      <c r="G80" s="59">
        <v>0.0215</v>
      </c>
    </row>
    <row r="81" spans="1:7">
      <c r="A81" s="57">
        <v>511270</v>
      </c>
      <c r="B81" s="57" t="s">
        <v>157</v>
      </c>
      <c r="C81" s="58">
        <v>104.8761</v>
      </c>
      <c r="D81" s="58">
        <v>104.8581</v>
      </c>
      <c r="E81" s="59">
        <v>0.0002</v>
      </c>
      <c r="F81" s="58">
        <v>104.15</v>
      </c>
      <c r="G81" s="59">
        <v>0.0069</v>
      </c>
    </row>
    <row r="82" spans="1:7">
      <c r="A82" s="57">
        <v>515760</v>
      </c>
      <c r="B82" s="57" t="s">
        <v>158</v>
      </c>
      <c r="C82" s="58">
        <v>1.036</v>
      </c>
      <c r="D82" s="58">
        <v>1.0358</v>
      </c>
      <c r="E82" s="59">
        <v>0.0002</v>
      </c>
      <c r="F82" s="58">
        <v>1.032</v>
      </c>
      <c r="G82" s="59">
        <v>0.0039</v>
      </c>
    </row>
    <row r="83" spans="1:7">
      <c r="A83" s="57">
        <v>511000</v>
      </c>
      <c r="B83" s="57" t="s">
        <v>159</v>
      </c>
      <c r="C83" s="58">
        <v>100.5608</v>
      </c>
      <c r="D83" s="58">
        <v>100.5382</v>
      </c>
      <c r="E83" s="59">
        <v>0.0002</v>
      </c>
      <c r="F83" s="58">
        <v>99.999</v>
      </c>
      <c r="G83" s="59">
        <v>0.0056</v>
      </c>
    </row>
    <row r="84" spans="1:7">
      <c r="A84" s="57">
        <v>511050</v>
      </c>
      <c r="B84" s="57" t="s">
        <v>160</v>
      </c>
      <c r="C84" s="58">
        <v>99.9281</v>
      </c>
      <c r="D84" s="58">
        <v>99.909</v>
      </c>
      <c r="E84" s="59">
        <v>0.0002</v>
      </c>
      <c r="F84" s="58">
        <v>97</v>
      </c>
      <c r="G84" s="59">
        <v>0.0293</v>
      </c>
    </row>
    <row r="85" spans="1:7">
      <c r="A85" s="57">
        <v>511360</v>
      </c>
      <c r="B85" s="57" t="s">
        <v>161</v>
      </c>
      <c r="C85" s="58">
        <v>100.9229</v>
      </c>
      <c r="D85" s="58">
        <v>100.9025</v>
      </c>
      <c r="E85" s="59">
        <v>0.0002</v>
      </c>
      <c r="F85" s="58">
        <v>100.84</v>
      </c>
      <c r="G85" s="59">
        <v>0.0008</v>
      </c>
    </row>
    <row r="86" spans="1:7">
      <c r="A86" s="57">
        <v>159926</v>
      </c>
      <c r="B86" s="57" t="s">
        <v>162</v>
      </c>
      <c r="C86" s="58">
        <v>113.522</v>
      </c>
      <c r="D86" s="58">
        <v>113.513</v>
      </c>
      <c r="E86" s="59">
        <v>0.0001</v>
      </c>
      <c r="F86" s="58">
        <v>112.46</v>
      </c>
      <c r="G86" s="59">
        <v>0.0094</v>
      </c>
    </row>
    <row r="87" spans="1:7">
      <c r="A87" s="57">
        <v>511030</v>
      </c>
      <c r="B87" s="57" t="s">
        <v>163</v>
      </c>
      <c r="C87" s="58">
        <v>102.1151</v>
      </c>
      <c r="D87" s="58">
        <v>102.1015</v>
      </c>
      <c r="E87" s="59">
        <v>0.0001</v>
      </c>
      <c r="F87" s="58">
        <v>101.624</v>
      </c>
      <c r="G87" s="59">
        <v>0.0048</v>
      </c>
    </row>
    <row r="88" spans="1:7">
      <c r="A88" s="57">
        <v>159972</v>
      </c>
      <c r="B88" s="57" t="s">
        <v>164</v>
      </c>
      <c r="C88" s="58">
        <v>103.9069</v>
      </c>
      <c r="D88" s="58">
        <v>103.8962</v>
      </c>
      <c r="E88" s="59">
        <v>0.0001</v>
      </c>
      <c r="F88" s="58">
        <v>103.557</v>
      </c>
      <c r="G88" s="59">
        <v>0.0034</v>
      </c>
    </row>
    <row r="89" spans="1:7">
      <c r="A89" s="57">
        <v>159969</v>
      </c>
      <c r="B89" s="57" t="s">
        <v>165</v>
      </c>
      <c r="C89" s="58">
        <v>1.5961</v>
      </c>
      <c r="D89" s="58">
        <v>1.596</v>
      </c>
      <c r="E89" s="59">
        <v>0.0001</v>
      </c>
      <c r="F89" s="58">
        <v>1.6</v>
      </c>
      <c r="G89" s="59">
        <v>-0.0024</v>
      </c>
    </row>
    <row r="90" spans="1:7">
      <c r="A90" s="57">
        <v>159901</v>
      </c>
      <c r="B90" s="57" t="s">
        <v>166</v>
      </c>
      <c r="C90" s="58">
        <v>7.3754</v>
      </c>
      <c r="D90" s="58">
        <v>7.3756</v>
      </c>
      <c r="E90" s="59">
        <v>0</v>
      </c>
      <c r="F90" s="58">
        <v>7.368</v>
      </c>
      <c r="G90" s="59">
        <v>0.001</v>
      </c>
    </row>
    <row r="91" spans="1:7">
      <c r="A91" s="57">
        <v>159961</v>
      </c>
      <c r="B91" s="57" t="s">
        <v>167</v>
      </c>
      <c r="C91" s="58">
        <v>2.1399</v>
      </c>
      <c r="D91" s="58">
        <v>2.14</v>
      </c>
      <c r="E91" s="59">
        <v>0</v>
      </c>
      <c r="F91" s="58">
        <v>2.137</v>
      </c>
      <c r="G91" s="59">
        <v>0.0014</v>
      </c>
    </row>
    <row r="92" spans="1:7">
      <c r="A92" s="57">
        <v>511280</v>
      </c>
      <c r="B92" s="57" t="s">
        <v>168</v>
      </c>
      <c r="C92" s="58">
        <v>110.1973</v>
      </c>
      <c r="D92" s="58">
        <v>110.2009</v>
      </c>
      <c r="E92" s="59">
        <v>0</v>
      </c>
      <c r="F92" s="58">
        <v>108.9</v>
      </c>
      <c r="G92" s="59">
        <v>0.0118</v>
      </c>
    </row>
    <row r="93" spans="1:7">
      <c r="A93" s="57">
        <v>159967</v>
      </c>
      <c r="B93" s="57" t="s">
        <v>169</v>
      </c>
      <c r="C93" s="58">
        <v>0.5975</v>
      </c>
      <c r="D93" s="58">
        <v>0.5975</v>
      </c>
      <c r="E93" s="59">
        <v>0</v>
      </c>
      <c r="F93" s="58">
        <v>0.599</v>
      </c>
      <c r="G93" s="59">
        <v>-0.0025</v>
      </c>
    </row>
    <row r="94" spans="1:7">
      <c r="A94" s="57">
        <v>159975</v>
      </c>
      <c r="B94" s="57" t="s">
        <v>170</v>
      </c>
      <c r="C94" s="58">
        <v>6.8048</v>
      </c>
      <c r="D94" s="58">
        <v>6.8046</v>
      </c>
      <c r="E94" s="59">
        <v>0</v>
      </c>
      <c r="F94" s="58">
        <v>6.792</v>
      </c>
      <c r="G94" s="59">
        <v>0.0019</v>
      </c>
    </row>
    <row r="95" spans="1:7">
      <c r="A95" s="57">
        <v>159816</v>
      </c>
      <c r="B95" s="57" t="s">
        <v>171</v>
      </c>
      <c r="C95" s="58">
        <v>100.2381</v>
      </c>
      <c r="D95" s="58">
        <v>100.2378</v>
      </c>
      <c r="E95" s="59">
        <v>0</v>
      </c>
      <c r="F95" s="58">
        <v>100.05</v>
      </c>
      <c r="G95" s="59">
        <v>0.0019</v>
      </c>
    </row>
    <row r="96" spans="1:7">
      <c r="A96" s="57">
        <v>159970</v>
      </c>
      <c r="B96" s="57" t="s">
        <v>172</v>
      </c>
      <c r="C96" s="58">
        <v>6.3107</v>
      </c>
      <c r="D96" s="58">
        <v>6.3108</v>
      </c>
      <c r="E96" s="59">
        <v>0</v>
      </c>
      <c r="F96" s="58">
        <v>6.308</v>
      </c>
      <c r="G96" s="59">
        <v>0.0004</v>
      </c>
    </row>
    <row r="97" spans="1:7">
      <c r="A97" s="57">
        <v>159986</v>
      </c>
      <c r="B97" s="57" t="s">
        <v>173</v>
      </c>
      <c r="C97" s="58">
        <v>1.4536</v>
      </c>
      <c r="D97" s="58">
        <v>1.4538</v>
      </c>
      <c r="E97" s="59">
        <v>-0.0001</v>
      </c>
      <c r="F97" s="58">
        <v>1.448</v>
      </c>
      <c r="G97" s="59">
        <v>0.0039</v>
      </c>
    </row>
    <row r="98" spans="1:7">
      <c r="A98" s="57">
        <v>512680</v>
      </c>
      <c r="B98" s="57" t="s">
        <v>174</v>
      </c>
      <c r="C98" s="58">
        <v>1.1187</v>
      </c>
      <c r="D98" s="58">
        <v>1.1189</v>
      </c>
      <c r="E98" s="59">
        <v>-0.0002</v>
      </c>
      <c r="F98" s="58">
        <v>1.126</v>
      </c>
      <c r="G98" s="59">
        <v>-0.0065</v>
      </c>
    </row>
    <row r="99" spans="1:7">
      <c r="A99" s="57">
        <v>511010</v>
      </c>
      <c r="B99" s="57" t="s">
        <v>175</v>
      </c>
      <c r="C99" s="58">
        <v>120.923</v>
      </c>
      <c r="D99" s="58">
        <v>120.965</v>
      </c>
      <c r="E99" s="59">
        <v>-0.0003</v>
      </c>
      <c r="F99" s="58">
        <v>120.666</v>
      </c>
      <c r="G99" s="59">
        <v>0.0021</v>
      </c>
    </row>
    <row r="100" spans="1:7">
      <c r="A100" s="57">
        <v>511020</v>
      </c>
      <c r="B100" s="57" t="s">
        <v>176</v>
      </c>
      <c r="C100" s="58">
        <v>103.4658</v>
      </c>
      <c r="D100" s="58">
        <v>103.4971</v>
      </c>
      <c r="E100" s="59">
        <v>-0.0003</v>
      </c>
      <c r="F100" s="58">
        <v>103.1</v>
      </c>
      <c r="G100" s="59">
        <v>0.0035</v>
      </c>
    </row>
    <row r="101" spans="1:7">
      <c r="A101" s="57">
        <v>512660</v>
      </c>
      <c r="B101" s="57" t="s">
        <v>177</v>
      </c>
      <c r="C101" s="58">
        <v>1.0949</v>
      </c>
      <c r="D101" s="58">
        <v>1.0952</v>
      </c>
      <c r="E101" s="59">
        <v>-0.0003</v>
      </c>
      <c r="F101" s="58">
        <v>1.095</v>
      </c>
      <c r="G101" s="59">
        <v>-0.0001</v>
      </c>
    </row>
    <row r="102" spans="1:7">
      <c r="A102" s="57">
        <v>159814</v>
      </c>
      <c r="B102" s="57" t="s">
        <v>178</v>
      </c>
      <c r="C102" s="58">
        <v>1.1038</v>
      </c>
      <c r="D102" s="58">
        <v>1.1041</v>
      </c>
      <c r="E102" s="59">
        <v>-0.0003</v>
      </c>
      <c r="F102" s="58">
        <v>1.106</v>
      </c>
      <c r="G102" s="59">
        <v>-0.002</v>
      </c>
    </row>
    <row r="103" spans="1:7">
      <c r="A103" s="57">
        <v>159991</v>
      </c>
      <c r="B103" s="57" t="s">
        <v>179</v>
      </c>
      <c r="C103" s="58">
        <v>1.5174</v>
      </c>
      <c r="D103" s="58">
        <v>1.5178</v>
      </c>
      <c r="E103" s="59">
        <v>-0.0003</v>
      </c>
      <c r="F103" s="58">
        <v>1.516</v>
      </c>
      <c r="G103" s="59">
        <v>0.0009</v>
      </c>
    </row>
    <row r="104" spans="1:7">
      <c r="A104" s="57">
        <v>510440</v>
      </c>
      <c r="B104" s="57" t="s">
        <v>180</v>
      </c>
      <c r="C104" s="58">
        <v>1.926</v>
      </c>
      <c r="D104" s="58">
        <v>1.927</v>
      </c>
      <c r="E104" s="59">
        <v>-0.0005</v>
      </c>
      <c r="F104" s="58">
        <v>1.91</v>
      </c>
      <c r="G104" s="59">
        <v>0.0083</v>
      </c>
    </row>
    <row r="105" spans="1:7">
      <c r="A105" s="57">
        <v>511260</v>
      </c>
      <c r="B105" s="57" t="s">
        <v>181</v>
      </c>
      <c r="C105" s="58">
        <v>109.71</v>
      </c>
      <c r="D105" s="58">
        <v>109.762</v>
      </c>
      <c r="E105" s="59">
        <v>-0.0005</v>
      </c>
      <c r="F105" s="58">
        <v>109.575</v>
      </c>
      <c r="G105" s="59">
        <v>0.0012</v>
      </c>
    </row>
    <row r="106" spans="1:7">
      <c r="A106" s="57">
        <v>511310</v>
      </c>
      <c r="B106" s="57" t="s">
        <v>182</v>
      </c>
      <c r="C106" s="58">
        <v>110.1781</v>
      </c>
      <c r="D106" s="58">
        <v>110.2469</v>
      </c>
      <c r="E106" s="59">
        <v>-0.0006</v>
      </c>
      <c r="F106" s="58">
        <v>110.998</v>
      </c>
      <c r="G106" s="59">
        <v>-0.0074</v>
      </c>
    </row>
    <row r="107" spans="1:7">
      <c r="A107" s="57">
        <v>512560</v>
      </c>
      <c r="B107" s="57" t="s">
        <v>183</v>
      </c>
      <c r="C107" s="58">
        <v>1.2398</v>
      </c>
      <c r="D107" s="58">
        <v>1.2406</v>
      </c>
      <c r="E107" s="59">
        <v>-0.0006</v>
      </c>
      <c r="F107" s="58">
        <v>1.247</v>
      </c>
      <c r="G107" s="59">
        <v>-0.0058</v>
      </c>
    </row>
    <row r="108" spans="1:7">
      <c r="A108" s="57">
        <v>159992</v>
      </c>
      <c r="B108" s="57" t="s">
        <v>184</v>
      </c>
      <c r="C108" s="58">
        <v>1.3697</v>
      </c>
      <c r="D108" s="58">
        <v>1.3705</v>
      </c>
      <c r="E108" s="59">
        <v>-0.0006</v>
      </c>
      <c r="F108" s="58">
        <v>1.372</v>
      </c>
      <c r="G108" s="59">
        <v>-0.0017</v>
      </c>
    </row>
    <row r="109" spans="1:7">
      <c r="A109" s="57">
        <v>159906</v>
      </c>
      <c r="B109" s="57" t="s">
        <v>185</v>
      </c>
      <c r="C109" s="58">
        <v>1.508</v>
      </c>
      <c r="D109" s="58">
        <v>1.509</v>
      </c>
      <c r="E109" s="59">
        <v>-0.0007</v>
      </c>
      <c r="F109" s="58">
        <v>1.507</v>
      </c>
      <c r="G109" s="59">
        <v>0.0007</v>
      </c>
    </row>
    <row r="110" spans="1:7">
      <c r="A110" s="57">
        <v>515500</v>
      </c>
      <c r="B110" s="57" t="s">
        <v>186</v>
      </c>
      <c r="C110" s="58">
        <v>1.0255</v>
      </c>
      <c r="D110" s="58">
        <v>1.0263</v>
      </c>
      <c r="E110" s="59">
        <v>-0.0008</v>
      </c>
      <c r="F110" s="58">
        <v>1.027</v>
      </c>
      <c r="G110" s="59">
        <v>-0.0015</v>
      </c>
    </row>
    <row r="111" spans="1:7">
      <c r="A111" s="57">
        <v>512260</v>
      </c>
      <c r="B111" s="57" t="s">
        <v>187</v>
      </c>
      <c r="C111" s="58">
        <v>1.378</v>
      </c>
      <c r="D111" s="58">
        <v>1.3792</v>
      </c>
      <c r="E111" s="59">
        <v>-0.0009</v>
      </c>
      <c r="F111" s="58">
        <v>1.376</v>
      </c>
      <c r="G111" s="59">
        <v>0.0015</v>
      </c>
    </row>
    <row r="112" spans="1:7">
      <c r="A112" s="57">
        <v>510210</v>
      </c>
      <c r="B112" s="57" t="s">
        <v>188</v>
      </c>
      <c r="C112" s="58">
        <v>4.716</v>
      </c>
      <c r="D112" s="58">
        <v>4.721</v>
      </c>
      <c r="E112" s="59">
        <v>-0.0011</v>
      </c>
      <c r="F112" s="58">
        <v>4.708</v>
      </c>
      <c r="G112" s="59">
        <v>0.0017</v>
      </c>
    </row>
    <row r="113" spans="1:7">
      <c r="A113" s="57">
        <v>159907</v>
      </c>
      <c r="B113" s="57" t="s">
        <v>189</v>
      </c>
      <c r="C113" s="58">
        <v>1.7656</v>
      </c>
      <c r="D113" s="58">
        <v>1.7676</v>
      </c>
      <c r="E113" s="59">
        <v>-0.0011</v>
      </c>
      <c r="F113" s="58">
        <v>1.766</v>
      </c>
      <c r="G113" s="59">
        <v>-0.0002</v>
      </c>
    </row>
    <row r="114" spans="1:7">
      <c r="A114" s="57">
        <v>512530</v>
      </c>
      <c r="B114" s="57" t="s">
        <v>190</v>
      </c>
      <c r="C114" s="58">
        <v>1.1723</v>
      </c>
      <c r="D114" s="58">
        <v>1.1736</v>
      </c>
      <c r="E114" s="59">
        <v>-0.0011</v>
      </c>
      <c r="F114" s="58">
        <v>1.167</v>
      </c>
      <c r="G114" s="59">
        <v>0.0045</v>
      </c>
    </row>
    <row r="115" spans="1:7">
      <c r="A115" s="57">
        <v>512870</v>
      </c>
      <c r="B115" s="57" t="s">
        <v>191</v>
      </c>
      <c r="C115" s="58">
        <v>1.7397</v>
      </c>
      <c r="D115" s="58">
        <v>1.7422</v>
      </c>
      <c r="E115" s="59">
        <v>-0.0014</v>
      </c>
      <c r="F115" s="58">
        <v>1.732</v>
      </c>
      <c r="G115" s="59">
        <v>0.0044</v>
      </c>
    </row>
    <row r="116" spans="1:7">
      <c r="A116" s="57">
        <v>159810</v>
      </c>
      <c r="B116" s="57" t="s">
        <v>192</v>
      </c>
      <c r="C116" s="58">
        <v>1.0965</v>
      </c>
      <c r="D116" s="58">
        <v>1.0982</v>
      </c>
      <c r="E116" s="59">
        <v>-0.0015</v>
      </c>
      <c r="F116" s="58">
        <v>1.094</v>
      </c>
      <c r="G116" s="59">
        <v>0.0023</v>
      </c>
    </row>
    <row r="117" spans="1:7">
      <c r="A117" s="57">
        <v>159952</v>
      </c>
      <c r="B117" s="57" t="s">
        <v>193</v>
      </c>
      <c r="C117" s="58">
        <v>1.6194</v>
      </c>
      <c r="D117" s="58">
        <v>1.622</v>
      </c>
      <c r="E117" s="59">
        <v>-0.0016</v>
      </c>
      <c r="F117" s="58">
        <v>1.62</v>
      </c>
      <c r="G117" s="59">
        <v>-0.0004</v>
      </c>
    </row>
    <row r="118" spans="1:7">
      <c r="A118" s="57">
        <v>588090</v>
      </c>
      <c r="B118" s="57" t="s">
        <v>194</v>
      </c>
      <c r="C118" s="58">
        <v>1.4061</v>
      </c>
      <c r="D118" s="58">
        <v>1.4084</v>
      </c>
      <c r="E118" s="59">
        <v>-0.0016</v>
      </c>
      <c r="F118" s="58">
        <v>1.404</v>
      </c>
      <c r="G118" s="59">
        <v>0.0015</v>
      </c>
    </row>
    <row r="119" spans="1:7">
      <c r="A119" s="57">
        <v>159912</v>
      </c>
      <c r="B119" s="57" t="s">
        <v>195</v>
      </c>
      <c r="C119" s="58">
        <v>1.8945</v>
      </c>
      <c r="D119" s="58">
        <v>1.8978</v>
      </c>
      <c r="E119" s="59">
        <v>-0.0017</v>
      </c>
      <c r="F119" s="58">
        <v>1.886</v>
      </c>
      <c r="G119" s="59">
        <v>0.0045</v>
      </c>
    </row>
    <row r="120" spans="1:7">
      <c r="A120" s="57">
        <v>159948</v>
      </c>
      <c r="B120" s="57" t="s">
        <v>196</v>
      </c>
      <c r="C120" s="58">
        <v>2.9353</v>
      </c>
      <c r="D120" s="58">
        <v>2.9404</v>
      </c>
      <c r="E120" s="59">
        <v>-0.0017</v>
      </c>
      <c r="F120" s="58">
        <v>2.933</v>
      </c>
      <c r="G120" s="59">
        <v>0.0008</v>
      </c>
    </row>
    <row r="121" spans="1:7">
      <c r="A121" s="57">
        <v>159955</v>
      </c>
      <c r="B121" s="57" t="s">
        <v>197</v>
      </c>
      <c r="C121" s="58">
        <v>1.5067</v>
      </c>
      <c r="D121" s="58">
        <v>1.5092</v>
      </c>
      <c r="E121" s="59">
        <v>-0.0017</v>
      </c>
      <c r="F121" s="58">
        <v>1.501</v>
      </c>
      <c r="G121" s="59">
        <v>0.0038</v>
      </c>
    </row>
    <row r="122" spans="1:7">
      <c r="A122" s="57">
        <v>159962</v>
      </c>
      <c r="B122" s="57" t="s">
        <v>198</v>
      </c>
      <c r="C122" s="58">
        <v>1.4462</v>
      </c>
      <c r="D122" s="58">
        <v>1.4486</v>
      </c>
      <c r="E122" s="59">
        <v>-0.0017</v>
      </c>
      <c r="F122" s="58">
        <v>1.449</v>
      </c>
      <c r="G122" s="59">
        <v>-0.0019</v>
      </c>
    </row>
    <row r="123" spans="1:7">
      <c r="A123" s="57">
        <v>159964</v>
      </c>
      <c r="B123" s="57" t="s">
        <v>199</v>
      </c>
      <c r="C123" s="58">
        <v>1.6779</v>
      </c>
      <c r="D123" s="58">
        <v>1.6808</v>
      </c>
      <c r="E123" s="59">
        <v>-0.0017</v>
      </c>
      <c r="F123" s="58">
        <v>1.658</v>
      </c>
      <c r="G123" s="59">
        <v>0.0119</v>
      </c>
    </row>
    <row r="124" spans="1:7">
      <c r="A124" s="57">
        <v>159958</v>
      </c>
      <c r="B124" s="57" t="s">
        <v>200</v>
      </c>
      <c r="C124" s="58">
        <v>1.6165</v>
      </c>
      <c r="D124" s="58">
        <v>1.6192</v>
      </c>
      <c r="E124" s="59">
        <v>-0.0017</v>
      </c>
      <c r="F124" s="58">
        <v>1.614</v>
      </c>
      <c r="G124" s="59">
        <v>0.0015</v>
      </c>
    </row>
    <row r="125" spans="1:7">
      <c r="A125" s="57">
        <v>159821</v>
      </c>
      <c r="B125" s="57" t="s">
        <v>201</v>
      </c>
      <c r="C125" s="58">
        <v>1.0391</v>
      </c>
      <c r="D125" s="58">
        <v>1.0409</v>
      </c>
      <c r="E125" s="59">
        <v>-0.0017</v>
      </c>
      <c r="F125" s="58">
        <v>1.035</v>
      </c>
      <c r="G125" s="59">
        <v>0.0039</v>
      </c>
    </row>
    <row r="126" spans="1:7">
      <c r="A126" s="57">
        <v>159808</v>
      </c>
      <c r="B126" s="57" t="s">
        <v>202</v>
      </c>
      <c r="C126" s="58">
        <v>1.0423</v>
      </c>
      <c r="D126" s="58">
        <v>1.0441</v>
      </c>
      <c r="E126" s="59">
        <v>-0.0017</v>
      </c>
      <c r="F126" s="58">
        <v>1.039</v>
      </c>
      <c r="G126" s="59">
        <v>0.0032</v>
      </c>
    </row>
    <row r="127" spans="1:7">
      <c r="A127" s="57">
        <v>159971</v>
      </c>
      <c r="B127" s="57" t="s">
        <v>203</v>
      </c>
      <c r="C127" s="58">
        <v>1.8956</v>
      </c>
      <c r="D127" s="58">
        <v>1.8989</v>
      </c>
      <c r="E127" s="59">
        <v>-0.0017</v>
      </c>
      <c r="F127" s="58">
        <v>1.889</v>
      </c>
      <c r="G127" s="59">
        <v>0.0035</v>
      </c>
    </row>
    <row r="128" spans="1:7">
      <c r="A128" s="57">
        <v>588000</v>
      </c>
      <c r="B128" s="57" t="s">
        <v>204</v>
      </c>
      <c r="C128" s="58">
        <v>1.4033</v>
      </c>
      <c r="D128" s="58">
        <v>1.4057</v>
      </c>
      <c r="E128" s="59">
        <v>-0.0017</v>
      </c>
      <c r="F128" s="58">
        <v>1.403</v>
      </c>
      <c r="G128" s="59">
        <v>0.0002</v>
      </c>
    </row>
    <row r="129" spans="1:7">
      <c r="A129" s="57">
        <v>588080</v>
      </c>
      <c r="B129" s="57" t="s">
        <v>205</v>
      </c>
      <c r="C129" s="58">
        <v>1.3904</v>
      </c>
      <c r="D129" s="58">
        <v>1.3928</v>
      </c>
      <c r="E129" s="59">
        <v>-0.0017</v>
      </c>
      <c r="F129" s="58">
        <v>1.393</v>
      </c>
      <c r="G129" s="59">
        <v>-0.0019</v>
      </c>
    </row>
    <row r="130" spans="1:7">
      <c r="A130" s="57">
        <v>588050</v>
      </c>
      <c r="B130" s="57" t="s">
        <v>206</v>
      </c>
      <c r="C130" s="58">
        <v>1.3918</v>
      </c>
      <c r="D130" s="58">
        <v>1.3942</v>
      </c>
      <c r="E130" s="59">
        <v>-0.0017</v>
      </c>
      <c r="F130" s="58">
        <v>1.39</v>
      </c>
      <c r="G130" s="59">
        <v>0.0013</v>
      </c>
    </row>
    <row r="131" spans="1:7">
      <c r="A131" s="57">
        <v>159908</v>
      </c>
      <c r="B131" s="57" t="s">
        <v>207</v>
      </c>
      <c r="C131" s="58">
        <v>2.4347</v>
      </c>
      <c r="D131" s="58">
        <v>2.439</v>
      </c>
      <c r="E131" s="59">
        <v>-0.0018</v>
      </c>
      <c r="F131" s="58">
        <v>2.435</v>
      </c>
      <c r="G131" s="59">
        <v>-0.0001</v>
      </c>
    </row>
    <row r="132" spans="1:7">
      <c r="A132" s="57">
        <v>159915</v>
      </c>
      <c r="B132" s="57" t="s">
        <v>208</v>
      </c>
      <c r="C132" s="58">
        <v>2.6881</v>
      </c>
      <c r="D132" s="58">
        <v>2.6929</v>
      </c>
      <c r="E132" s="59">
        <v>-0.0018</v>
      </c>
      <c r="F132" s="58">
        <v>2.688</v>
      </c>
      <c r="G132" s="59">
        <v>0</v>
      </c>
    </row>
    <row r="133" spans="1:7">
      <c r="A133" s="57">
        <v>159957</v>
      </c>
      <c r="B133" s="57" t="s">
        <v>209</v>
      </c>
      <c r="C133" s="58">
        <v>1.691</v>
      </c>
      <c r="D133" s="58">
        <v>1.694</v>
      </c>
      <c r="E133" s="59">
        <v>-0.0018</v>
      </c>
      <c r="F133" s="58">
        <v>1.691</v>
      </c>
      <c r="G133" s="59">
        <v>0</v>
      </c>
    </row>
    <row r="134" spans="1:7">
      <c r="A134" s="57">
        <v>159977</v>
      </c>
      <c r="B134" s="57" t="s">
        <v>210</v>
      </c>
      <c r="C134" s="58">
        <v>2.799</v>
      </c>
      <c r="D134" s="58">
        <v>2.804</v>
      </c>
      <c r="E134" s="59">
        <v>-0.0018</v>
      </c>
      <c r="F134" s="58">
        <v>2.797</v>
      </c>
      <c r="G134" s="59">
        <v>0.0007</v>
      </c>
    </row>
    <row r="135" spans="1:7">
      <c r="A135" s="57">
        <v>159956</v>
      </c>
      <c r="B135" s="57" t="s">
        <v>211</v>
      </c>
      <c r="C135" s="58">
        <v>1.6159</v>
      </c>
      <c r="D135" s="58">
        <v>1.619</v>
      </c>
      <c r="E135" s="59">
        <v>-0.0019</v>
      </c>
      <c r="F135" s="58">
        <v>1.613</v>
      </c>
      <c r="G135" s="59">
        <v>0.0018</v>
      </c>
    </row>
    <row r="136" spans="1:7">
      <c r="A136" s="57">
        <v>159916</v>
      </c>
      <c r="B136" s="57" t="s">
        <v>212</v>
      </c>
      <c r="C136" s="58">
        <v>5.5848</v>
      </c>
      <c r="D136" s="58">
        <v>5.596</v>
      </c>
      <c r="E136" s="59">
        <v>-0.002</v>
      </c>
      <c r="F136" s="58">
        <v>5.53</v>
      </c>
      <c r="G136" s="59">
        <v>0.0098</v>
      </c>
    </row>
    <row r="137" spans="1:7">
      <c r="A137" s="57">
        <v>515590</v>
      </c>
      <c r="B137" s="57" t="s">
        <v>213</v>
      </c>
      <c r="C137" s="58">
        <v>1.3562</v>
      </c>
      <c r="D137" s="58">
        <v>1.3589</v>
      </c>
      <c r="E137" s="59">
        <v>-0.002</v>
      </c>
      <c r="F137" s="58">
        <v>1.347</v>
      </c>
      <c r="G137" s="59">
        <v>0.0068</v>
      </c>
    </row>
    <row r="138" spans="1:7">
      <c r="A138" s="57">
        <v>159910</v>
      </c>
      <c r="B138" s="57" t="s">
        <v>214</v>
      </c>
      <c r="C138" s="58">
        <v>2.4602</v>
      </c>
      <c r="D138" s="58">
        <v>2.4655</v>
      </c>
      <c r="E138" s="59">
        <v>-0.0021</v>
      </c>
      <c r="F138" s="58">
        <v>2.457</v>
      </c>
      <c r="G138" s="59">
        <v>0.0013</v>
      </c>
    </row>
    <row r="139" spans="1:7">
      <c r="A139" s="57">
        <v>510810</v>
      </c>
      <c r="B139" s="57" t="s">
        <v>215</v>
      </c>
      <c r="C139" s="58">
        <v>0.9391</v>
      </c>
      <c r="D139" s="58">
        <v>0.9411</v>
      </c>
      <c r="E139" s="59">
        <v>-0.0021</v>
      </c>
      <c r="F139" s="58">
        <v>0.939</v>
      </c>
      <c r="G139" s="59">
        <v>0.0001</v>
      </c>
    </row>
    <row r="140" spans="1:7">
      <c r="A140" s="57">
        <v>515570</v>
      </c>
      <c r="B140" s="57" t="s">
        <v>216</v>
      </c>
      <c r="C140" s="58">
        <v>1.3222</v>
      </c>
      <c r="D140" s="58">
        <v>1.3253</v>
      </c>
      <c r="E140" s="59">
        <v>-0.0023</v>
      </c>
      <c r="F140" s="58">
        <v>1.32</v>
      </c>
      <c r="G140" s="59">
        <v>0.0017</v>
      </c>
    </row>
    <row r="141" spans="1:7">
      <c r="A141" s="57">
        <v>159943</v>
      </c>
      <c r="B141" s="57" t="s">
        <v>217</v>
      </c>
      <c r="C141" s="58">
        <v>15.502</v>
      </c>
      <c r="D141" s="58">
        <v>15.54</v>
      </c>
      <c r="E141" s="59">
        <v>-0.0024</v>
      </c>
      <c r="F141" s="58">
        <v>15.431</v>
      </c>
      <c r="G141" s="59">
        <v>0.0046</v>
      </c>
    </row>
    <row r="142" spans="1:7">
      <c r="A142" s="57">
        <v>515530</v>
      </c>
      <c r="B142" s="57" t="s">
        <v>218</v>
      </c>
      <c r="C142" s="58">
        <v>3.1759</v>
      </c>
      <c r="D142" s="58">
        <v>3.1834</v>
      </c>
      <c r="E142" s="59">
        <v>-0.0024</v>
      </c>
      <c r="F142" s="58">
        <v>3.177</v>
      </c>
      <c r="G142" s="59">
        <v>-0.0003</v>
      </c>
    </row>
    <row r="143" spans="1:7">
      <c r="A143" s="57">
        <v>510290</v>
      </c>
      <c r="B143" s="57" t="s">
        <v>219</v>
      </c>
      <c r="C143" s="58">
        <v>1.8578</v>
      </c>
      <c r="D143" s="58">
        <v>1.8624</v>
      </c>
      <c r="E143" s="59">
        <v>-0.0025</v>
      </c>
      <c r="F143" s="58">
        <v>1.856</v>
      </c>
      <c r="G143" s="59">
        <v>0.001</v>
      </c>
    </row>
    <row r="144" spans="1:7">
      <c r="A144" s="57">
        <v>159982</v>
      </c>
      <c r="B144" s="57" t="s">
        <v>220</v>
      </c>
      <c r="C144" s="58">
        <v>1.3269</v>
      </c>
      <c r="D144" s="58">
        <v>1.3302</v>
      </c>
      <c r="E144" s="59">
        <v>-0.0025</v>
      </c>
      <c r="F144" s="58">
        <v>1.325</v>
      </c>
      <c r="G144" s="59">
        <v>0.0014</v>
      </c>
    </row>
    <row r="145" spans="1:7">
      <c r="A145" s="57">
        <v>159935</v>
      </c>
      <c r="B145" s="57" t="s">
        <v>221</v>
      </c>
      <c r="C145" s="58">
        <v>1.8659</v>
      </c>
      <c r="D145" s="58">
        <v>1.8708</v>
      </c>
      <c r="E145" s="59">
        <v>-0.0026</v>
      </c>
      <c r="F145" s="58">
        <v>1.885</v>
      </c>
      <c r="G145" s="59">
        <v>-0.0102</v>
      </c>
    </row>
    <row r="146" spans="1:7">
      <c r="A146" s="57">
        <v>159903</v>
      </c>
      <c r="B146" s="57" t="s">
        <v>222</v>
      </c>
      <c r="C146" s="58">
        <v>1.5691</v>
      </c>
      <c r="D146" s="58">
        <v>1.5732</v>
      </c>
      <c r="E146" s="59">
        <v>-0.0026</v>
      </c>
      <c r="F146" s="58">
        <v>1.568</v>
      </c>
      <c r="G146" s="59">
        <v>0.0007</v>
      </c>
    </row>
    <row r="147" spans="1:7">
      <c r="A147" s="57">
        <v>159905</v>
      </c>
      <c r="B147" s="57" t="s">
        <v>223</v>
      </c>
      <c r="C147" s="58">
        <v>2.65</v>
      </c>
      <c r="D147" s="58">
        <v>2.6569</v>
      </c>
      <c r="E147" s="59">
        <v>-0.0026</v>
      </c>
      <c r="F147" s="58">
        <v>2.648</v>
      </c>
      <c r="G147" s="59">
        <v>0.0008</v>
      </c>
    </row>
    <row r="148" spans="1:7">
      <c r="A148" s="57">
        <v>510550</v>
      </c>
      <c r="B148" s="57" t="s">
        <v>224</v>
      </c>
      <c r="C148" s="58">
        <v>1.5345</v>
      </c>
      <c r="D148" s="58">
        <v>1.5385</v>
      </c>
      <c r="E148" s="59">
        <v>-0.0026</v>
      </c>
      <c r="F148" s="58">
        <v>1.531</v>
      </c>
      <c r="G148" s="59">
        <v>0.0023</v>
      </c>
    </row>
    <row r="149" spans="1:7">
      <c r="A149" s="57">
        <v>512510</v>
      </c>
      <c r="B149" s="57" t="s">
        <v>225</v>
      </c>
      <c r="C149" s="58">
        <v>1.503</v>
      </c>
      <c r="D149" s="58">
        <v>1.5069</v>
      </c>
      <c r="E149" s="59">
        <v>-0.0026</v>
      </c>
      <c r="F149" s="58">
        <v>1.5</v>
      </c>
      <c r="G149" s="59">
        <v>0.002</v>
      </c>
    </row>
    <row r="150" spans="1:7">
      <c r="A150" s="57">
        <v>515190</v>
      </c>
      <c r="B150" s="57" t="s">
        <v>226</v>
      </c>
      <c r="C150" s="58">
        <v>1.2439</v>
      </c>
      <c r="D150" s="58">
        <v>1.2472</v>
      </c>
      <c r="E150" s="59">
        <v>-0.0026</v>
      </c>
      <c r="F150" s="58">
        <v>1.238</v>
      </c>
      <c r="G150" s="59">
        <v>0.0047</v>
      </c>
    </row>
    <row r="151" spans="1:7">
      <c r="A151" s="57">
        <v>515980</v>
      </c>
      <c r="B151" s="57" t="s">
        <v>227</v>
      </c>
      <c r="C151" s="58">
        <v>1.0949</v>
      </c>
      <c r="D151" s="58">
        <v>1.0977</v>
      </c>
      <c r="E151" s="59">
        <v>-0.0026</v>
      </c>
      <c r="F151" s="58">
        <v>1.094</v>
      </c>
      <c r="G151" s="59">
        <v>0.0008</v>
      </c>
    </row>
    <row r="152" spans="1:7">
      <c r="A152" s="57">
        <v>510500</v>
      </c>
      <c r="B152" s="57" t="s">
        <v>228</v>
      </c>
      <c r="C152" s="58">
        <v>6.9684</v>
      </c>
      <c r="D152" s="58">
        <v>6.9875</v>
      </c>
      <c r="E152" s="59">
        <v>-0.0027</v>
      </c>
      <c r="F152" s="58">
        <v>6.964</v>
      </c>
      <c r="G152" s="59">
        <v>0.0006</v>
      </c>
    </row>
    <row r="153" spans="1:7">
      <c r="A153" s="57">
        <v>159922</v>
      </c>
      <c r="B153" s="57" t="s">
        <v>229</v>
      </c>
      <c r="C153" s="58">
        <v>6.8794</v>
      </c>
      <c r="D153" s="58">
        <v>6.898</v>
      </c>
      <c r="E153" s="59">
        <v>-0.0027</v>
      </c>
      <c r="F153" s="58">
        <v>6.9</v>
      </c>
      <c r="G153" s="59">
        <v>-0.003</v>
      </c>
    </row>
    <row r="154" spans="1:7">
      <c r="A154" s="57">
        <v>510510</v>
      </c>
      <c r="B154" s="57" t="s">
        <v>230</v>
      </c>
      <c r="C154" s="58">
        <v>1.84</v>
      </c>
      <c r="D154" s="58">
        <v>1.8449</v>
      </c>
      <c r="E154" s="59">
        <v>-0.0027</v>
      </c>
      <c r="F154" s="58">
        <v>1.84</v>
      </c>
      <c r="G154" s="59">
        <v>0</v>
      </c>
    </row>
    <row r="155" spans="1:7">
      <c r="A155" s="57">
        <v>510580</v>
      </c>
      <c r="B155" s="57" t="s">
        <v>231</v>
      </c>
      <c r="C155" s="58">
        <v>6.9451</v>
      </c>
      <c r="D155" s="58">
        <v>6.9636</v>
      </c>
      <c r="E155" s="59">
        <v>-0.0027</v>
      </c>
      <c r="F155" s="58">
        <v>6.94</v>
      </c>
      <c r="G155" s="59">
        <v>0.0007</v>
      </c>
    </row>
    <row r="156" spans="1:7">
      <c r="A156" s="57">
        <v>512500</v>
      </c>
      <c r="B156" s="57" t="s">
        <v>232</v>
      </c>
      <c r="C156" s="58">
        <v>3.2416</v>
      </c>
      <c r="D156" s="58">
        <v>3.2503</v>
      </c>
      <c r="E156" s="59">
        <v>-0.0027</v>
      </c>
      <c r="F156" s="58">
        <v>3.239</v>
      </c>
      <c r="G156" s="59">
        <v>0.0008</v>
      </c>
    </row>
    <row r="157" spans="1:7">
      <c r="A157" s="57">
        <v>510590</v>
      </c>
      <c r="B157" s="57" t="s">
        <v>233</v>
      </c>
      <c r="C157" s="58">
        <v>6.7436</v>
      </c>
      <c r="D157" s="58">
        <v>6.7618</v>
      </c>
      <c r="E157" s="59">
        <v>-0.0027</v>
      </c>
      <c r="F157" s="58">
        <v>6.726</v>
      </c>
      <c r="G157" s="59">
        <v>0.0026</v>
      </c>
    </row>
    <row r="158" spans="1:7">
      <c r="A158" s="57">
        <v>515550</v>
      </c>
      <c r="B158" s="57" t="s">
        <v>234</v>
      </c>
      <c r="C158" s="58">
        <v>1.2729</v>
      </c>
      <c r="D158" s="58">
        <v>1.2764</v>
      </c>
      <c r="E158" s="59">
        <v>-0.0027</v>
      </c>
      <c r="F158" s="58">
        <v>1.263</v>
      </c>
      <c r="G158" s="59">
        <v>0.0078</v>
      </c>
    </row>
    <row r="159" spans="1:7">
      <c r="A159" s="57">
        <v>510530</v>
      </c>
      <c r="B159" s="57" t="s">
        <v>235</v>
      </c>
      <c r="C159" s="58">
        <v>6.3127</v>
      </c>
      <c r="D159" s="58">
        <v>6.3295</v>
      </c>
      <c r="E159" s="59">
        <v>-0.0027</v>
      </c>
      <c r="F159" s="58">
        <v>6.301</v>
      </c>
      <c r="G159" s="59">
        <v>0.0019</v>
      </c>
    </row>
    <row r="160" spans="1:7">
      <c r="A160" s="57">
        <v>159968</v>
      </c>
      <c r="B160" s="57" t="s">
        <v>236</v>
      </c>
      <c r="C160" s="58">
        <v>6.6697</v>
      </c>
      <c r="D160" s="58">
        <v>6.6885</v>
      </c>
      <c r="E160" s="59">
        <v>-0.0028</v>
      </c>
      <c r="F160" s="58">
        <v>6.669</v>
      </c>
      <c r="G160" s="59">
        <v>0.0001</v>
      </c>
    </row>
    <row r="161" spans="1:7">
      <c r="A161" s="57">
        <v>159820</v>
      </c>
      <c r="B161" s="57" t="s">
        <v>237</v>
      </c>
      <c r="C161" s="58">
        <v>0.9623</v>
      </c>
      <c r="D161" s="58">
        <v>0.965</v>
      </c>
      <c r="E161" s="59">
        <v>-0.0028</v>
      </c>
      <c r="F161" s="58">
        <v>0.961</v>
      </c>
      <c r="G161" s="59">
        <v>0.0014</v>
      </c>
    </row>
    <row r="162" spans="1:7">
      <c r="A162" s="57">
        <v>510570</v>
      </c>
      <c r="B162" s="57" t="s">
        <v>238</v>
      </c>
      <c r="C162" s="58">
        <v>0.9386</v>
      </c>
      <c r="D162" s="58">
        <v>0.9412</v>
      </c>
      <c r="E162" s="59">
        <v>-0.0028</v>
      </c>
      <c r="F162" s="58">
        <v>0.941</v>
      </c>
      <c r="G162" s="59">
        <v>-0.0026</v>
      </c>
    </row>
    <row r="163" spans="1:7">
      <c r="A163" s="57">
        <v>515090</v>
      </c>
      <c r="B163" s="57" t="s">
        <v>239</v>
      </c>
      <c r="C163" s="58">
        <v>1.2988</v>
      </c>
      <c r="D163" s="58">
        <v>1.3024</v>
      </c>
      <c r="E163" s="59">
        <v>-0.0028</v>
      </c>
      <c r="F163" s="58">
        <v>1.296</v>
      </c>
      <c r="G163" s="59">
        <v>0.0022</v>
      </c>
    </row>
    <row r="164" spans="1:7">
      <c r="A164" s="57">
        <v>510560</v>
      </c>
      <c r="B164" s="57" t="s">
        <v>240</v>
      </c>
      <c r="C164" s="58">
        <v>1.3591</v>
      </c>
      <c r="D164" s="58">
        <v>1.363</v>
      </c>
      <c r="E164" s="59">
        <v>-0.0029</v>
      </c>
      <c r="F164" s="58">
        <v>1.359</v>
      </c>
      <c r="G164" s="59">
        <v>0.0001</v>
      </c>
    </row>
    <row r="165" spans="1:7">
      <c r="A165" s="57">
        <v>512270</v>
      </c>
      <c r="B165" s="57" t="s">
        <v>241</v>
      </c>
      <c r="C165" s="58">
        <v>1.1016</v>
      </c>
      <c r="D165" s="58">
        <v>1.1049</v>
      </c>
      <c r="E165" s="59">
        <v>-0.003</v>
      </c>
      <c r="F165" s="58">
        <v>1.101</v>
      </c>
      <c r="G165" s="59">
        <v>0.0005</v>
      </c>
    </row>
    <row r="166" spans="1:7">
      <c r="A166" s="57">
        <v>515620</v>
      </c>
      <c r="B166" s="57" t="s">
        <v>242</v>
      </c>
      <c r="C166" s="58">
        <v>1.2599</v>
      </c>
      <c r="D166" s="58">
        <v>1.2637</v>
      </c>
      <c r="E166" s="59">
        <v>-0.003</v>
      </c>
      <c r="F166" s="58">
        <v>1.253</v>
      </c>
      <c r="G166" s="59">
        <v>0.0055</v>
      </c>
    </row>
    <row r="167" spans="1:7">
      <c r="A167" s="57">
        <v>159999</v>
      </c>
      <c r="B167" s="57" t="s">
        <v>243</v>
      </c>
      <c r="C167" s="58">
        <v>1.0155</v>
      </c>
      <c r="D167" s="58">
        <v>1.0186</v>
      </c>
      <c r="E167" s="59">
        <v>-0.003</v>
      </c>
      <c r="F167" s="58">
        <v>1.013</v>
      </c>
      <c r="G167" s="59">
        <v>0.0025</v>
      </c>
    </row>
    <row r="168" spans="1:7">
      <c r="A168" s="57">
        <v>515820</v>
      </c>
      <c r="B168" s="57" t="s">
        <v>244</v>
      </c>
      <c r="C168" s="58">
        <v>1.2604</v>
      </c>
      <c r="D168" s="58">
        <v>1.2642</v>
      </c>
      <c r="E168" s="59">
        <v>-0.003</v>
      </c>
      <c r="F168" s="58">
        <v>1.256</v>
      </c>
      <c r="G168" s="59">
        <v>0.0035</v>
      </c>
    </row>
    <row r="169" spans="1:7">
      <c r="A169" s="57">
        <v>512360</v>
      </c>
      <c r="B169" s="57" t="s">
        <v>245</v>
      </c>
      <c r="C169" s="58">
        <v>1.6127</v>
      </c>
      <c r="D169" s="58">
        <v>1.6177</v>
      </c>
      <c r="E169" s="59">
        <v>-0.0031</v>
      </c>
      <c r="F169" s="58">
        <v>1.61</v>
      </c>
      <c r="G169" s="59">
        <v>0.0017</v>
      </c>
    </row>
    <row r="170" spans="1:7">
      <c r="A170" s="57">
        <v>510360</v>
      </c>
      <c r="B170" s="57" t="s">
        <v>246</v>
      </c>
      <c r="C170" s="58">
        <v>1.6897</v>
      </c>
      <c r="D170" s="58">
        <v>1.6951</v>
      </c>
      <c r="E170" s="59">
        <v>-0.0032</v>
      </c>
      <c r="F170" s="58">
        <v>1.69</v>
      </c>
      <c r="G170" s="59">
        <v>-0.0002</v>
      </c>
    </row>
    <row r="171" spans="1:7">
      <c r="A171" s="57">
        <v>512280</v>
      </c>
      <c r="B171" s="57" t="s">
        <v>247</v>
      </c>
      <c r="C171" s="58">
        <v>1.5076</v>
      </c>
      <c r="D171" s="58">
        <v>1.5125</v>
      </c>
      <c r="E171" s="59">
        <v>-0.0032</v>
      </c>
      <c r="F171" s="58">
        <v>1.505</v>
      </c>
      <c r="G171" s="59">
        <v>0.0017</v>
      </c>
    </row>
    <row r="172" spans="1:7">
      <c r="A172" s="57">
        <v>510380</v>
      </c>
      <c r="B172" s="57" t="s">
        <v>248</v>
      </c>
      <c r="C172" s="58">
        <v>1.3079</v>
      </c>
      <c r="D172" s="58">
        <v>1.3121</v>
      </c>
      <c r="E172" s="59">
        <v>-0.0032</v>
      </c>
      <c r="F172" s="58">
        <v>1.3</v>
      </c>
      <c r="G172" s="59">
        <v>0.006</v>
      </c>
    </row>
    <row r="173" spans="1:7">
      <c r="A173" s="57">
        <v>510760</v>
      </c>
      <c r="B173" s="57" t="s">
        <v>249</v>
      </c>
      <c r="C173" s="58">
        <v>0.9856</v>
      </c>
      <c r="D173" s="58">
        <v>0.9888</v>
      </c>
      <c r="E173" s="59">
        <v>-0.0032</v>
      </c>
      <c r="F173" s="58">
        <v>0.984</v>
      </c>
      <c r="G173" s="59">
        <v>0.0016</v>
      </c>
    </row>
    <row r="174" spans="1:7">
      <c r="A174" s="57">
        <v>515660</v>
      </c>
      <c r="B174" s="57" t="s">
        <v>250</v>
      </c>
      <c r="C174" s="58">
        <v>5.2802</v>
      </c>
      <c r="D174" s="58">
        <v>5.297</v>
      </c>
      <c r="E174" s="59">
        <v>-0.0032</v>
      </c>
      <c r="F174" s="58">
        <v>5.255</v>
      </c>
      <c r="G174" s="59">
        <v>0.0048</v>
      </c>
    </row>
    <row r="175" spans="1:7">
      <c r="A175" s="57">
        <v>515360</v>
      </c>
      <c r="B175" s="57" t="s">
        <v>251</v>
      </c>
      <c r="C175" s="58">
        <v>5.5323</v>
      </c>
      <c r="D175" s="58">
        <v>5.5498</v>
      </c>
      <c r="E175" s="59">
        <v>-0.0032</v>
      </c>
      <c r="F175" s="58">
        <v>5.528</v>
      </c>
      <c r="G175" s="59">
        <v>0.0008</v>
      </c>
    </row>
    <row r="176" spans="1:7">
      <c r="A176" s="57">
        <v>515830</v>
      </c>
      <c r="B176" s="57" t="s">
        <v>252</v>
      </c>
      <c r="C176" s="58">
        <v>5.2283</v>
      </c>
      <c r="D176" s="58">
        <v>5.2456</v>
      </c>
      <c r="E176" s="59">
        <v>-0.0033</v>
      </c>
      <c r="F176" s="58">
        <v>5.226</v>
      </c>
      <c r="G176" s="59">
        <v>0.0004</v>
      </c>
    </row>
    <row r="177" spans="1:7">
      <c r="A177" s="57">
        <v>159815</v>
      </c>
      <c r="B177" s="57" t="s">
        <v>253</v>
      </c>
      <c r="C177" s="58">
        <v>1.0544</v>
      </c>
      <c r="D177" s="58">
        <v>1.0579</v>
      </c>
      <c r="E177" s="59">
        <v>-0.0033</v>
      </c>
      <c r="F177" s="58">
        <v>1.048</v>
      </c>
      <c r="G177" s="59">
        <v>0.0061</v>
      </c>
    </row>
    <row r="178" spans="1:7">
      <c r="A178" s="57">
        <v>515610</v>
      </c>
      <c r="B178" s="57" t="s">
        <v>254</v>
      </c>
      <c r="C178" s="58">
        <v>1.0352</v>
      </c>
      <c r="D178" s="58">
        <v>1.0386</v>
      </c>
      <c r="E178" s="59">
        <v>-0.0033</v>
      </c>
      <c r="F178" s="58">
        <v>1.029</v>
      </c>
      <c r="G178" s="59">
        <v>0.006</v>
      </c>
    </row>
    <row r="179" spans="1:7">
      <c r="A179" s="57">
        <v>512120</v>
      </c>
      <c r="B179" s="57" t="s">
        <v>255</v>
      </c>
      <c r="C179" s="58">
        <v>2.322</v>
      </c>
      <c r="D179" s="58">
        <v>2.33</v>
      </c>
      <c r="E179" s="59">
        <v>-0.0034</v>
      </c>
      <c r="F179" s="58">
        <v>2.318</v>
      </c>
      <c r="G179" s="59">
        <v>0.0017</v>
      </c>
    </row>
    <row r="180" spans="1:7">
      <c r="A180" s="57">
        <v>512380</v>
      </c>
      <c r="B180" s="57" t="s">
        <v>256</v>
      </c>
      <c r="C180" s="58">
        <v>1.4053</v>
      </c>
      <c r="D180" s="58">
        <v>1.4101</v>
      </c>
      <c r="E180" s="59">
        <v>-0.0034</v>
      </c>
      <c r="F180" s="58">
        <v>1.406</v>
      </c>
      <c r="G180" s="59">
        <v>-0.0005</v>
      </c>
    </row>
    <row r="181" spans="1:7">
      <c r="A181" s="57">
        <v>515350</v>
      </c>
      <c r="B181" s="57" t="s">
        <v>257</v>
      </c>
      <c r="C181" s="58">
        <v>5.4466</v>
      </c>
      <c r="D181" s="58">
        <v>5.465</v>
      </c>
      <c r="E181" s="59">
        <v>-0.0034</v>
      </c>
      <c r="F181" s="58">
        <v>5.444</v>
      </c>
      <c r="G181" s="59">
        <v>0.0005</v>
      </c>
    </row>
    <row r="182" spans="1:7">
      <c r="A182" s="57">
        <v>515930</v>
      </c>
      <c r="B182" s="57" t="s">
        <v>258</v>
      </c>
      <c r="C182" s="58">
        <v>5.4914</v>
      </c>
      <c r="D182" s="58">
        <v>5.51</v>
      </c>
      <c r="E182" s="59">
        <v>-0.0034</v>
      </c>
      <c r="F182" s="58">
        <v>5.488</v>
      </c>
      <c r="G182" s="59">
        <v>0.0006</v>
      </c>
    </row>
    <row r="183" spans="1:7">
      <c r="A183" s="57">
        <v>515800</v>
      </c>
      <c r="B183" s="57" t="s">
        <v>259</v>
      </c>
      <c r="C183" s="58">
        <v>1.26</v>
      </c>
      <c r="D183" s="58">
        <v>1.2643</v>
      </c>
      <c r="E183" s="59">
        <v>-0.0034</v>
      </c>
      <c r="F183" s="58">
        <v>1.262</v>
      </c>
      <c r="G183" s="59">
        <v>-0.0016</v>
      </c>
    </row>
    <row r="184" spans="1:7">
      <c r="A184" s="57">
        <v>515780</v>
      </c>
      <c r="B184" s="57" t="s">
        <v>260</v>
      </c>
      <c r="C184" s="58">
        <v>1.4077</v>
      </c>
      <c r="D184" s="58">
        <v>1.4125</v>
      </c>
      <c r="E184" s="59">
        <v>-0.0034</v>
      </c>
      <c r="F184" s="58">
        <v>1.407</v>
      </c>
      <c r="G184" s="59">
        <v>0.0005</v>
      </c>
    </row>
    <row r="185" spans="1:7">
      <c r="A185" s="57">
        <v>159925</v>
      </c>
      <c r="B185" s="57" t="s">
        <v>261</v>
      </c>
      <c r="C185" s="58">
        <v>2.3387</v>
      </c>
      <c r="D185" s="58">
        <v>2.347</v>
      </c>
      <c r="E185" s="59">
        <v>-0.0035</v>
      </c>
      <c r="F185" s="58">
        <v>2.339</v>
      </c>
      <c r="G185" s="59">
        <v>-0.0001</v>
      </c>
    </row>
    <row r="186" spans="1:7">
      <c r="A186" s="57">
        <v>510310</v>
      </c>
      <c r="B186" s="57" t="s">
        <v>262</v>
      </c>
      <c r="C186" s="58">
        <v>2.2721</v>
      </c>
      <c r="D186" s="58">
        <v>2.2801</v>
      </c>
      <c r="E186" s="59">
        <v>-0.0035</v>
      </c>
      <c r="F186" s="58">
        <v>2.273</v>
      </c>
      <c r="G186" s="59">
        <v>-0.0004</v>
      </c>
    </row>
    <row r="187" spans="1:7">
      <c r="A187" s="57">
        <v>510330</v>
      </c>
      <c r="B187" s="57" t="s">
        <v>263</v>
      </c>
      <c r="C187" s="58">
        <v>5.091</v>
      </c>
      <c r="D187" s="58">
        <v>5.1089</v>
      </c>
      <c r="E187" s="59">
        <v>-0.0035</v>
      </c>
      <c r="F187" s="58">
        <v>5.09</v>
      </c>
      <c r="G187" s="59">
        <v>0.0002</v>
      </c>
    </row>
    <row r="188" spans="1:7">
      <c r="A188" s="57">
        <v>512860</v>
      </c>
      <c r="B188" s="57" t="s">
        <v>264</v>
      </c>
      <c r="C188" s="58">
        <v>1.6355</v>
      </c>
      <c r="D188" s="58">
        <v>1.6412</v>
      </c>
      <c r="E188" s="59">
        <v>-0.0035</v>
      </c>
      <c r="F188" s="58">
        <v>1.631</v>
      </c>
      <c r="G188" s="59">
        <v>0.0028</v>
      </c>
    </row>
    <row r="189" spans="1:7">
      <c r="A189" s="57">
        <v>512920</v>
      </c>
      <c r="B189" s="57" t="s">
        <v>265</v>
      </c>
      <c r="C189" s="58">
        <v>1.745</v>
      </c>
      <c r="D189" s="58">
        <v>1.7511</v>
      </c>
      <c r="E189" s="59">
        <v>-0.0035</v>
      </c>
      <c r="F189" s="58">
        <v>1.742</v>
      </c>
      <c r="G189" s="59">
        <v>0.0017</v>
      </c>
    </row>
    <row r="190" spans="1:7">
      <c r="A190" s="57">
        <v>159919</v>
      </c>
      <c r="B190" s="57" t="s">
        <v>266</v>
      </c>
      <c r="C190" s="58">
        <v>4.9914</v>
      </c>
      <c r="D190" s="58">
        <v>5.0091</v>
      </c>
      <c r="E190" s="59">
        <v>-0.0035</v>
      </c>
      <c r="F190" s="58">
        <v>4.985</v>
      </c>
      <c r="G190" s="59">
        <v>0.0013</v>
      </c>
    </row>
    <row r="191" spans="1:7">
      <c r="A191" s="57">
        <v>512520</v>
      </c>
      <c r="B191" s="57" t="s">
        <v>267</v>
      </c>
      <c r="C191" s="58">
        <v>1.6064</v>
      </c>
      <c r="D191" s="58">
        <v>1.612</v>
      </c>
      <c r="E191" s="59">
        <v>-0.0035</v>
      </c>
      <c r="F191" s="58">
        <v>1.6</v>
      </c>
      <c r="G191" s="59">
        <v>0.004</v>
      </c>
    </row>
    <row r="192" spans="1:7">
      <c r="A192" s="57">
        <v>510350</v>
      </c>
      <c r="B192" s="57" t="s">
        <v>268</v>
      </c>
      <c r="C192" s="58">
        <v>5.0261</v>
      </c>
      <c r="D192" s="58">
        <v>5.0436</v>
      </c>
      <c r="E192" s="59">
        <v>-0.0035</v>
      </c>
      <c r="F192" s="58">
        <v>5.02</v>
      </c>
      <c r="G192" s="59">
        <v>0.0012</v>
      </c>
    </row>
    <row r="193" spans="1:7">
      <c r="A193" s="57">
        <v>510370</v>
      </c>
      <c r="B193" s="57" t="s">
        <v>269</v>
      </c>
      <c r="C193" s="58">
        <v>1.0524</v>
      </c>
      <c r="D193" s="58">
        <v>1.0561</v>
      </c>
      <c r="E193" s="59">
        <v>-0.0035</v>
      </c>
      <c r="F193" s="58">
        <v>1.049</v>
      </c>
      <c r="G193" s="59">
        <v>0.0032</v>
      </c>
    </row>
    <row r="194" spans="1:7">
      <c r="A194" s="57">
        <v>515390</v>
      </c>
      <c r="B194" s="57" t="s">
        <v>270</v>
      </c>
      <c r="C194" s="58">
        <v>1.2404</v>
      </c>
      <c r="D194" s="58">
        <v>1.2448</v>
      </c>
      <c r="E194" s="59">
        <v>-0.0035</v>
      </c>
      <c r="F194" s="58">
        <v>1.238</v>
      </c>
      <c r="G194" s="59">
        <v>0.0019</v>
      </c>
    </row>
    <row r="195" spans="1:7">
      <c r="A195" s="57">
        <v>510030</v>
      </c>
      <c r="B195" s="57" t="s">
        <v>271</v>
      </c>
      <c r="C195" s="58">
        <v>6.294</v>
      </c>
      <c r="D195" s="58">
        <v>6.317</v>
      </c>
      <c r="E195" s="59">
        <v>-0.0036</v>
      </c>
      <c r="F195" s="58">
        <v>6.285</v>
      </c>
      <c r="G195" s="59">
        <v>0.0014</v>
      </c>
    </row>
    <row r="196" spans="1:7">
      <c r="A196" s="57">
        <v>510190</v>
      </c>
      <c r="B196" s="57" t="s">
        <v>272</v>
      </c>
      <c r="C196" s="58">
        <v>4.095</v>
      </c>
      <c r="D196" s="58">
        <v>4.11</v>
      </c>
      <c r="E196" s="59">
        <v>-0.0036</v>
      </c>
      <c r="F196" s="58">
        <v>4.08</v>
      </c>
      <c r="G196" s="59">
        <v>0.0037</v>
      </c>
    </row>
    <row r="197" spans="1:7">
      <c r="A197" s="57">
        <v>510300</v>
      </c>
      <c r="B197" s="57" t="s">
        <v>273</v>
      </c>
      <c r="C197" s="58">
        <v>5.0703</v>
      </c>
      <c r="D197" s="58">
        <v>5.0885</v>
      </c>
      <c r="E197" s="59">
        <v>-0.0036</v>
      </c>
      <c r="F197" s="58">
        <v>5.065</v>
      </c>
      <c r="G197" s="59">
        <v>0.001</v>
      </c>
    </row>
    <row r="198" spans="1:7">
      <c r="A198" s="57">
        <v>512220</v>
      </c>
      <c r="B198" s="57" t="s">
        <v>274</v>
      </c>
      <c r="C198" s="58">
        <v>1.6922</v>
      </c>
      <c r="D198" s="58">
        <v>1.6983</v>
      </c>
      <c r="E198" s="59">
        <v>-0.0036</v>
      </c>
      <c r="F198" s="58">
        <v>1.687</v>
      </c>
      <c r="G198" s="59">
        <v>0.0031</v>
      </c>
    </row>
    <row r="199" spans="1:7">
      <c r="A199" s="57">
        <v>510390</v>
      </c>
      <c r="B199" s="57" t="s">
        <v>275</v>
      </c>
      <c r="C199" s="58">
        <v>5.3979</v>
      </c>
      <c r="D199" s="58">
        <v>5.4172</v>
      </c>
      <c r="E199" s="59">
        <v>-0.0036</v>
      </c>
      <c r="F199" s="58">
        <v>5.399</v>
      </c>
      <c r="G199" s="59">
        <v>-0.0002</v>
      </c>
    </row>
    <row r="200" spans="1:7">
      <c r="A200" s="57">
        <v>515750</v>
      </c>
      <c r="B200" s="57" t="s">
        <v>276</v>
      </c>
      <c r="C200" s="58">
        <v>1.4477</v>
      </c>
      <c r="D200" s="58">
        <v>1.4529</v>
      </c>
      <c r="E200" s="59">
        <v>-0.0036</v>
      </c>
      <c r="F200" s="58">
        <v>1.444</v>
      </c>
      <c r="G200" s="59">
        <v>0.0026</v>
      </c>
    </row>
    <row r="201" spans="1:7">
      <c r="A201" s="57">
        <v>515310</v>
      </c>
      <c r="B201" s="57" t="s">
        <v>277</v>
      </c>
      <c r="C201" s="58">
        <v>1.29</v>
      </c>
      <c r="D201" s="58">
        <v>1.2946</v>
      </c>
      <c r="E201" s="59">
        <v>-0.0036</v>
      </c>
      <c r="F201" s="58">
        <v>1.292</v>
      </c>
      <c r="G201" s="59">
        <v>-0.0016</v>
      </c>
    </row>
    <row r="202" spans="1:7">
      <c r="A202" s="57">
        <v>515160</v>
      </c>
      <c r="B202" s="57" t="s">
        <v>278</v>
      </c>
      <c r="C202" s="58">
        <v>1.3847</v>
      </c>
      <c r="D202" s="58">
        <v>1.3897</v>
      </c>
      <c r="E202" s="59">
        <v>-0.0036</v>
      </c>
      <c r="F202" s="58">
        <v>1.381</v>
      </c>
      <c r="G202" s="59">
        <v>0.0027</v>
      </c>
    </row>
    <row r="203" spans="1:7">
      <c r="A203" s="57">
        <v>515130</v>
      </c>
      <c r="B203" s="57" t="s">
        <v>279</v>
      </c>
      <c r="C203" s="58">
        <v>1.3994</v>
      </c>
      <c r="D203" s="58">
        <v>1.4044</v>
      </c>
      <c r="E203" s="59">
        <v>-0.0036</v>
      </c>
      <c r="F203" s="58">
        <v>1.399</v>
      </c>
      <c r="G203" s="59">
        <v>0.0003</v>
      </c>
    </row>
    <row r="204" spans="1:7">
      <c r="A204" s="57">
        <v>515330</v>
      </c>
      <c r="B204" s="57" t="s">
        <v>280</v>
      </c>
      <c r="C204" s="58">
        <v>1.2886</v>
      </c>
      <c r="D204" s="58">
        <v>1.2932</v>
      </c>
      <c r="E204" s="59">
        <v>-0.0036</v>
      </c>
      <c r="F204" s="58">
        <v>1.285</v>
      </c>
      <c r="G204" s="59">
        <v>0.0028</v>
      </c>
    </row>
    <row r="205" spans="1:7">
      <c r="A205" s="57">
        <v>515380</v>
      </c>
      <c r="B205" s="57" t="s">
        <v>281</v>
      </c>
      <c r="C205" s="58">
        <v>5.1028</v>
      </c>
      <c r="D205" s="58">
        <v>5.1211</v>
      </c>
      <c r="E205" s="59">
        <v>-0.0036</v>
      </c>
      <c r="F205" s="58">
        <v>5.101</v>
      </c>
      <c r="G205" s="59">
        <v>0.0004</v>
      </c>
    </row>
    <row r="206" spans="1:7">
      <c r="A206" s="57">
        <v>512180</v>
      </c>
      <c r="B206" s="57" t="s">
        <v>282</v>
      </c>
      <c r="C206" s="58">
        <v>1.452</v>
      </c>
      <c r="D206" s="58">
        <v>1.4573</v>
      </c>
      <c r="E206" s="59">
        <v>-0.0036</v>
      </c>
      <c r="F206" s="58">
        <v>1.449</v>
      </c>
      <c r="G206" s="59">
        <v>0.0021</v>
      </c>
    </row>
    <row r="207" spans="1:7">
      <c r="A207" s="57">
        <v>512090</v>
      </c>
      <c r="B207" s="57" t="s">
        <v>283</v>
      </c>
      <c r="C207" s="58">
        <v>1.6236</v>
      </c>
      <c r="D207" s="58">
        <v>1.6296</v>
      </c>
      <c r="E207" s="59">
        <v>-0.0037</v>
      </c>
      <c r="F207" s="58">
        <v>1.624</v>
      </c>
      <c r="G207" s="59">
        <v>-0.0002</v>
      </c>
    </row>
    <row r="208" spans="1:7">
      <c r="A208" s="57">
        <v>515810</v>
      </c>
      <c r="B208" s="57" t="s">
        <v>284</v>
      </c>
      <c r="C208" s="58">
        <v>1.3828</v>
      </c>
      <c r="D208" s="58">
        <v>1.388</v>
      </c>
      <c r="E208" s="59">
        <v>-0.0037</v>
      </c>
      <c r="F208" s="58">
        <v>1.384</v>
      </c>
      <c r="G208" s="59">
        <v>-0.0009</v>
      </c>
    </row>
    <row r="209" spans="1:7">
      <c r="A209" s="57">
        <v>512320</v>
      </c>
      <c r="B209" s="57" t="s">
        <v>285</v>
      </c>
      <c r="C209" s="58">
        <v>1.055</v>
      </c>
      <c r="D209" s="58">
        <v>1.0589</v>
      </c>
      <c r="E209" s="59">
        <v>-0.0037</v>
      </c>
      <c r="F209" s="58">
        <v>1.051</v>
      </c>
      <c r="G209" s="59">
        <v>0.0038</v>
      </c>
    </row>
    <row r="210" spans="1:7">
      <c r="A210" s="57">
        <v>513990</v>
      </c>
      <c r="B210" s="57" t="s">
        <v>286</v>
      </c>
      <c r="C210" s="58">
        <v>1.0228</v>
      </c>
      <c r="D210" s="58">
        <v>1.0266</v>
      </c>
      <c r="E210" s="59">
        <v>-0.0037</v>
      </c>
      <c r="F210" s="58">
        <v>1.017</v>
      </c>
      <c r="G210" s="59">
        <v>0.0057</v>
      </c>
    </row>
    <row r="211" spans="1:7">
      <c r="A211" s="57">
        <v>515770</v>
      </c>
      <c r="B211" s="57" t="s">
        <v>287</v>
      </c>
      <c r="C211" s="58">
        <v>1.2813</v>
      </c>
      <c r="D211" s="58">
        <v>1.2861</v>
      </c>
      <c r="E211" s="59">
        <v>-0.0037</v>
      </c>
      <c r="F211" s="58">
        <v>1.28</v>
      </c>
      <c r="G211" s="59">
        <v>0.001</v>
      </c>
    </row>
    <row r="212" spans="1:7">
      <c r="A212" s="57">
        <v>512990</v>
      </c>
      <c r="B212" s="57" t="s">
        <v>288</v>
      </c>
      <c r="C212" s="58">
        <v>1.692</v>
      </c>
      <c r="D212" s="58">
        <v>1.6984</v>
      </c>
      <c r="E212" s="59">
        <v>-0.0038</v>
      </c>
      <c r="F212" s="58">
        <v>1.693</v>
      </c>
      <c r="G212" s="59">
        <v>-0.0006</v>
      </c>
    </row>
    <row r="213" spans="1:7">
      <c r="A213" s="57">
        <v>512100</v>
      </c>
      <c r="B213" s="57" t="s">
        <v>289</v>
      </c>
      <c r="C213" s="58">
        <v>0.9274</v>
      </c>
      <c r="D213" s="58">
        <v>0.9309</v>
      </c>
      <c r="E213" s="59">
        <v>-0.0038</v>
      </c>
      <c r="F213" s="58">
        <v>0.928</v>
      </c>
      <c r="G213" s="59">
        <v>-0.0006</v>
      </c>
    </row>
    <row r="214" spans="1:7">
      <c r="A214" s="57">
        <v>512160</v>
      </c>
      <c r="B214" s="57" t="s">
        <v>290</v>
      </c>
      <c r="C214" s="58">
        <v>1.6003</v>
      </c>
      <c r="D214" s="58">
        <v>1.6064</v>
      </c>
      <c r="E214" s="59">
        <v>-0.0038</v>
      </c>
      <c r="F214" s="58">
        <v>1.603</v>
      </c>
      <c r="G214" s="59">
        <v>-0.0017</v>
      </c>
    </row>
    <row r="215" spans="1:7">
      <c r="A215" s="57">
        <v>515000</v>
      </c>
      <c r="B215" s="57" t="s">
        <v>291</v>
      </c>
      <c r="C215" s="58">
        <v>1.7443</v>
      </c>
      <c r="D215" s="58">
        <v>1.751</v>
      </c>
      <c r="E215" s="59">
        <v>-0.0038</v>
      </c>
      <c r="F215" s="58">
        <v>1.738</v>
      </c>
      <c r="G215" s="59">
        <v>0.0036</v>
      </c>
    </row>
    <row r="216" spans="1:7">
      <c r="A216" s="57">
        <v>512610</v>
      </c>
      <c r="B216" s="57" t="s">
        <v>292</v>
      </c>
      <c r="C216" s="58">
        <v>2.1537</v>
      </c>
      <c r="D216" s="58">
        <v>2.1622</v>
      </c>
      <c r="E216" s="59">
        <v>-0.0039</v>
      </c>
      <c r="F216" s="58">
        <v>2.145</v>
      </c>
      <c r="G216" s="59">
        <v>0.004</v>
      </c>
    </row>
    <row r="217" spans="1:7">
      <c r="A217" s="57">
        <v>159998</v>
      </c>
      <c r="B217" s="57" t="s">
        <v>293</v>
      </c>
      <c r="C217" s="58">
        <v>1.0733</v>
      </c>
      <c r="D217" s="58">
        <v>1.0775</v>
      </c>
      <c r="E217" s="59">
        <v>-0.0039</v>
      </c>
      <c r="F217" s="58">
        <v>1.07</v>
      </c>
      <c r="G217" s="59">
        <v>0.0031</v>
      </c>
    </row>
    <row r="218" spans="1:7">
      <c r="A218" s="57">
        <v>512720</v>
      </c>
      <c r="B218" s="57" t="s">
        <v>294</v>
      </c>
      <c r="C218" s="58">
        <v>1.3829</v>
      </c>
      <c r="D218" s="58">
        <v>1.3884</v>
      </c>
      <c r="E218" s="59">
        <v>-0.004</v>
      </c>
      <c r="F218" s="58">
        <v>1.378</v>
      </c>
      <c r="G218" s="59">
        <v>0.0035</v>
      </c>
    </row>
    <row r="219" spans="1:7">
      <c r="A219" s="57">
        <v>512750</v>
      </c>
      <c r="B219" s="57" t="s">
        <v>295</v>
      </c>
      <c r="C219" s="58">
        <v>1.1254</v>
      </c>
      <c r="D219" s="58">
        <v>1.1299</v>
      </c>
      <c r="E219" s="59">
        <v>-0.004</v>
      </c>
      <c r="F219" s="58">
        <v>1.123</v>
      </c>
      <c r="G219" s="59">
        <v>0.0021</v>
      </c>
    </row>
    <row r="220" spans="1:7">
      <c r="A220" s="57">
        <v>159929</v>
      </c>
      <c r="B220" s="57" t="s">
        <v>296</v>
      </c>
      <c r="C220" s="58">
        <v>2.3177</v>
      </c>
      <c r="D220" s="58">
        <v>2.3272</v>
      </c>
      <c r="E220" s="59">
        <v>-0.0041</v>
      </c>
      <c r="F220" s="58">
        <v>2.318</v>
      </c>
      <c r="G220" s="59">
        <v>-0.0001</v>
      </c>
    </row>
    <row r="221" spans="1:7">
      <c r="A221" s="57">
        <v>510010</v>
      </c>
      <c r="B221" s="57" t="s">
        <v>297</v>
      </c>
      <c r="C221" s="58">
        <v>1.456</v>
      </c>
      <c r="D221" s="58">
        <v>1.462</v>
      </c>
      <c r="E221" s="59">
        <v>-0.0041</v>
      </c>
      <c r="F221" s="58">
        <v>1.469</v>
      </c>
      <c r="G221" s="59">
        <v>-0.0089</v>
      </c>
    </row>
    <row r="222" spans="1:7">
      <c r="A222" s="57">
        <v>510120</v>
      </c>
      <c r="B222" s="57" t="s">
        <v>298</v>
      </c>
      <c r="C222" s="58">
        <v>4.248</v>
      </c>
      <c r="D222" s="58">
        <v>4.266</v>
      </c>
      <c r="E222" s="59">
        <v>-0.0042</v>
      </c>
      <c r="F222" s="58">
        <v>4.23</v>
      </c>
      <c r="G222" s="59">
        <v>0.0042</v>
      </c>
    </row>
    <row r="223" spans="1:7">
      <c r="A223" s="57">
        <v>513900</v>
      </c>
      <c r="B223" s="57" t="s">
        <v>299</v>
      </c>
      <c r="C223" s="58">
        <v>1.0806</v>
      </c>
      <c r="D223" s="58">
        <v>1.0852</v>
      </c>
      <c r="E223" s="59">
        <v>-0.0042</v>
      </c>
      <c r="F223" s="58">
        <v>1.079</v>
      </c>
      <c r="G223" s="59">
        <v>0.0015</v>
      </c>
    </row>
    <row r="224" spans="1:7">
      <c r="A224" s="57">
        <v>159996</v>
      </c>
      <c r="B224" s="57" t="s">
        <v>300</v>
      </c>
      <c r="C224" s="58">
        <v>1.3528</v>
      </c>
      <c r="D224" s="58">
        <v>1.3585</v>
      </c>
      <c r="E224" s="59">
        <v>-0.0042</v>
      </c>
      <c r="F224" s="58">
        <v>1.351</v>
      </c>
      <c r="G224" s="59">
        <v>0.0013</v>
      </c>
    </row>
    <row r="225" spans="1:7">
      <c r="A225" s="57">
        <v>513090</v>
      </c>
      <c r="B225" s="57" t="s">
        <v>301</v>
      </c>
      <c r="C225" s="58">
        <v>1.1808</v>
      </c>
      <c r="D225" s="58">
        <v>1.1859</v>
      </c>
      <c r="E225" s="59">
        <v>-0.0043</v>
      </c>
      <c r="F225" s="58">
        <v>1.177</v>
      </c>
      <c r="G225" s="59">
        <v>0.0032</v>
      </c>
    </row>
    <row r="226" spans="1:7">
      <c r="A226" s="57">
        <v>512650</v>
      </c>
      <c r="B226" s="57" t="s">
        <v>302</v>
      </c>
      <c r="C226" s="58">
        <v>1.226</v>
      </c>
      <c r="D226" s="58">
        <v>1.2316</v>
      </c>
      <c r="E226" s="59">
        <v>-0.0045</v>
      </c>
      <c r="F226" s="58">
        <v>1.225</v>
      </c>
      <c r="G226" s="59">
        <v>0.0008</v>
      </c>
    </row>
    <row r="227" spans="1:7">
      <c r="A227" s="57">
        <v>515860</v>
      </c>
      <c r="B227" s="57" t="s">
        <v>303</v>
      </c>
      <c r="C227" s="58">
        <v>1.397</v>
      </c>
      <c r="D227" s="58">
        <v>1.4034</v>
      </c>
      <c r="E227" s="59">
        <v>-0.0046</v>
      </c>
      <c r="F227" s="58">
        <v>1.391</v>
      </c>
      <c r="G227" s="59">
        <v>0.0043</v>
      </c>
    </row>
    <row r="228" spans="1:7">
      <c r="A228" s="57">
        <v>512910</v>
      </c>
      <c r="B228" s="57" t="s">
        <v>304</v>
      </c>
      <c r="C228" s="58">
        <v>1.4405</v>
      </c>
      <c r="D228" s="58">
        <v>1.4475</v>
      </c>
      <c r="E228" s="59">
        <v>-0.0048</v>
      </c>
      <c r="F228" s="58">
        <v>1.438</v>
      </c>
      <c r="G228" s="59">
        <v>0.0017</v>
      </c>
    </row>
    <row r="229" spans="1:7">
      <c r="A229" s="57">
        <v>159923</v>
      </c>
      <c r="B229" s="57" t="s">
        <v>305</v>
      </c>
      <c r="C229" s="58">
        <v>2.234</v>
      </c>
      <c r="D229" s="58">
        <v>2.245</v>
      </c>
      <c r="E229" s="59">
        <v>-0.0049</v>
      </c>
      <c r="F229" s="58">
        <v>2.225</v>
      </c>
      <c r="G229" s="59">
        <v>0.004</v>
      </c>
    </row>
    <row r="230" spans="1:7">
      <c r="A230" s="57">
        <v>515670</v>
      </c>
      <c r="B230" s="57" t="s">
        <v>306</v>
      </c>
      <c r="C230" s="58">
        <v>1.3045</v>
      </c>
      <c r="D230" s="58">
        <v>1.3109</v>
      </c>
      <c r="E230" s="59">
        <v>-0.0049</v>
      </c>
      <c r="F230" s="58">
        <v>1.304</v>
      </c>
      <c r="G230" s="59">
        <v>0.0004</v>
      </c>
    </row>
    <row r="231" spans="1:7">
      <c r="A231" s="57">
        <v>510110</v>
      </c>
      <c r="B231" s="57" t="s">
        <v>307</v>
      </c>
      <c r="C231" s="58">
        <v>4.2</v>
      </c>
      <c r="D231" s="58">
        <v>4.221</v>
      </c>
      <c r="E231" s="59">
        <v>-0.005</v>
      </c>
      <c r="F231" s="58">
        <v>4.22</v>
      </c>
      <c r="G231" s="59">
        <v>-0.0048</v>
      </c>
    </row>
    <row r="232" spans="1:7">
      <c r="A232" s="57">
        <v>510180</v>
      </c>
      <c r="B232" s="57" t="s">
        <v>308</v>
      </c>
      <c r="C232" s="58">
        <v>4.1257</v>
      </c>
      <c r="D232" s="58">
        <v>4.1463</v>
      </c>
      <c r="E232" s="59">
        <v>-0.005</v>
      </c>
      <c r="F232" s="58">
        <v>4.125</v>
      </c>
      <c r="G232" s="59">
        <v>0.0002</v>
      </c>
    </row>
    <row r="233" spans="1:7">
      <c r="A233" s="57">
        <v>159965</v>
      </c>
      <c r="B233" s="57" t="s">
        <v>309</v>
      </c>
      <c r="C233" s="58">
        <v>1.4788</v>
      </c>
      <c r="D233" s="58">
        <v>1.4862</v>
      </c>
      <c r="E233" s="59">
        <v>-0.005</v>
      </c>
      <c r="F233" s="58">
        <v>1.471</v>
      </c>
      <c r="G233" s="59">
        <v>0.0053</v>
      </c>
    </row>
    <row r="234" spans="1:7">
      <c r="A234" s="57">
        <v>515260</v>
      </c>
      <c r="B234" s="57" t="s">
        <v>310</v>
      </c>
      <c r="C234" s="58">
        <v>0.9658</v>
      </c>
      <c r="D234" s="58">
        <v>0.9707</v>
      </c>
      <c r="E234" s="59">
        <v>-0.005</v>
      </c>
      <c r="F234" s="58">
        <v>0.964</v>
      </c>
      <c r="G234" s="59">
        <v>0.0019</v>
      </c>
    </row>
    <row r="235" spans="1:7">
      <c r="A235" s="57">
        <v>512930</v>
      </c>
      <c r="B235" s="57" t="s">
        <v>311</v>
      </c>
      <c r="C235" s="58">
        <v>1.4827</v>
      </c>
      <c r="D235" s="58">
        <v>1.4902</v>
      </c>
      <c r="E235" s="59">
        <v>-0.005</v>
      </c>
      <c r="F235" s="58">
        <v>1.481</v>
      </c>
      <c r="G235" s="59">
        <v>0.0011</v>
      </c>
    </row>
    <row r="236" spans="1:7">
      <c r="A236" s="57">
        <v>159932</v>
      </c>
      <c r="B236" s="57" t="s">
        <v>312</v>
      </c>
      <c r="C236" s="58">
        <v>1.757</v>
      </c>
      <c r="D236" s="58">
        <v>1.766</v>
      </c>
      <c r="E236" s="59">
        <v>-0.0051</v>
      </c>
      <c r="F236" s="58">
        <v>1.765</v>
      </c>
      <c r="G236" s="59">
        <v>-0.0046</v>
      </c>
    </row>
    <row r="237" spans="1:7">
      <c r="A237" s="57">
        <v>512290</v>
      </c>
      <c r="B237" s="57" t="s">
        <v>313</v>
      </c>
      <c r="C237" s="58">
        <v>1.9175</v>
      </c>
      <c r="D237" s="58">
        <v>1.9274</v>
      </c>
      <c r="E237" s="59">
        <v>-0.0051</v>
      </c>
      <c r="F237" s="58">
        <v>1.917</v>
      </c>
      <c r="G237" s="59">
        <v>0.0003</v>
      </c>
    </row>
    <row r="238" spans="1:7">
      <c r="A238" s="57">
        <v>515070</v>
      </c>
      <c r="B238" s="57" t="s">
        <v>314</v>
      </c>
      <c r="C238" s="58">
        <v>1.1971</v>
      </c>
      <c r="D238" s="58">
        <v>1.2033</v>
      </c>
      <c r="E238" s="59">
        <v>-0.0052</v>
      </c>
      <c r="F238" s="58">
        <v>1.195</v>
      </c>
      <c r="G238" s="59">
        <v>0.0018</v>
      </c>
    </row>
    <row r="239" spans="1:7">
      <c r="A239" s="57">
        <v>512970</v>
      </c>
      <c r="B239" s="57" t="s">
        <v>315</v>
      </c>
      <c r="C239" s="58">
        <v>1.4285</v>
      </c>
      <c r="D239" s="58">
        <v>1.4361</v>
      </c>
      <c r="E239" s="59">
        <v>-0.0053</v>
      </c>
      <c r="F239" s="58">
        <v>1.424</v>
      </c>
      <c r="G239" s="59">
        <v>0.0032</v>
      </c>
    </row>
    <row r="240" spans="1:7">
      <c r="A240" s="57">
        <v>159819</v>
      </c>
      <c r="B240" s="57" t="s">
        <v>316</v>
      </c>
      <c r="C240" s="58">
        <v>0.9448</v>
      </c>
      <c r="D240" s="58">
        <v>0.9498</v>
      </c>
      <c r="E240" s="59">
        <v>-0.0053</v>
      </c>
      <c r="F240" s="58">
        <v>0.945</v>
      </c>
      <c r="G240" s="59">
        <v>-0.0002</v>
      </c>
    </row>
    <row r="241" spans="1:7">
      <c r="A241" s="57">
        <v>515870</v>
      </c>
      <c r="B241" s="57" t="s">
        <v>317</v>
      </c>
      <c r="C241" s="58">
        <v>1.2803</v>
      </c>
      <c r="D241" s="58">
        <v>1.2872</v>
      </c>
      <c r="E241" s="59">
        <v>-0.0054</v>
      </c>
      <c r="F241" s="58">
        <v>1.28</v>
      </c>
      <c r="G241" s="59">
        <v>0.0002</v>
      </c>
    </row>
    <row r="242" spans="1:7">
      <c r="A242" s="57">
        <v>515520</v>
      </c>
      <c r="B242" s="57" t="s">
        <v>318</v>
      </c>
      <c r="C242" s="58">
        <v>1.356</v>
      </c>
      <c r="D242" s="58">
        <v>1.3633</v>
      </c>
      <c r="E242" s="59">
        <v>-0.0054</v>
      </c>
      <c r="F242" s="58">
        <v>1.353</v>
      </c>
      <c r="G242" s="59">
        <v>0.0022</v>
      </c>
    </row>
    <row r="243" spans="1:7">
      <c r="A243" s="57">
        <v>510090</v>
      </c>
      <c r="B243" s="57" t="s">
        <v>319</v>
      </c>
      <c r="C243" s="58">
        <v>2.383</v>
      </c>
      <c r="D243" s="58">
        <v>2.3962</v>
      </c>
      <c r="E243" s="59">
        <v>-0.0055</v>
      </c>
      <c r="F243" s="58">
        <v>2.488</v>
      </c>
      <c r="G243" s="59">
        <v>-0.0441</v>
      </c>
    </row>
    <row r="244" spans="1:7">
      <c r="A244" s="57">
        <v>512590</v>
      </c>
      <c r="B244" s="57" t="s">
        <v>320</v>
      </c>
      <c r="C244" s="58">
        <v>1.3845</v>
      </c>
      <c r="D244" s="58">
        <v>1.3923</v>
      </c>
      <c r="E244" s="59">
        <v>-0.0056</v>
      </c>
      <c r="F244" s="58">
        <v>1.382</v>
      </c>
      <c r="G244" s="59">
        <v>0.0018</v>
      </c>
    </row>
    <row r="245" spans="1:7">
      <c r="A245" s="57">
        <v>159984</v>
      </c>
      <c r="B245" s="57" t="s">
        <v>321</v>
      </c>
      <c r="C245" s="58">
        <v>1.3314</v>
      </c>
      <c r="D245" s="58">
        <v>1.339</v>
      </c>
      <c r="E245" s="59">
        <v>-0.0057</v>
      </c>
      <c r="F245" s="58">
        <v>1.315</v>
      </c>
      <c r="G245" s="59">
        <v>0.0123</v>
      </c>
    </row>
    <row r="246" spans="1:7">
      <c r="A246" s="57">
        <v>159976</v>
      </c>
      <c r="B246" s="57" t="s">
        <v>322</v>
      </c>
      <c r="C246" s="58">
        <v>1.3141</v>
      </c>
      <c r="D246" s="58">
        <v>1.3216</v>
      </c>
      <c r="E246" s="59">
        <v>-0.0057</v>
      </c>
      <c r="F246" s="58">
        <v>1.306</v>
      </c>
      <c r="G246" s="59">
        <v>0.0062</v>
      </c>
    </row>
    <row r="247" spans="1:7">
      <c r="A247" s="57">
        <v>159979</v>
      </c>
      <c r="B247" s="57" t="s">
        <v>323</v>
      </c>
      <c r="C247" s="58">
        <v>1.273</v>
      </c>
      <c r="D247" s="58">
        <v>1.2803</v>
      </c>
      <c r="E247" s="59">
        <v>-0.0057</v>
      </c>
      <c r="F247" s="58">
        <v>1.267</v>
      </c>
      <c r="G247" s="59">
        <v>0.0047</v>
      </c>
    </row>
    <row r="248" spans="1:7">
      <c r="A248" s="57">
        <v>515950</v>
      </c>
      <c r="B248" s="57" t="s">
        <v>324</v>
      </c>
      <c r="C248" s="58">
        <v>1.6237</v>
      </c>
      <c r="D248" s="58">
        <v>1.633</v>
      </c>
      <c r="E248" s="59">
        <v>-0.0057</v>
      </c>
      <c r="F248" s="58">
        <v>1.625</v>
      </c>
      <c r="G248" s="59">
        <v>-0.0008</v>
      </c>
    </row>
    <row r="249" spans="1:7">
      <c r="A249" s="57">
        <v>159983</v>
      </c>
      <c r="B249" s="57" t="s">
        <v>325</v>
      </c>
      <c r="C249" s="58">
        <v>1.3765</v>
      </c>
      <c r="D249" s="58">
        <v>1.3845</v>
      </c>
      <c r="E249" s="59">
        <v>-0.0058</v>
      </c>
      <c r="F249" s="58">
        <v>1.367</v>
      </c>
      <c r="G249" s="59">
        <v>0.0069</v>
      </c>
    </row>
    <row r="250" spans="1:7">
      <c r="A250" s="57">
        <v>510270</v>
      </c>
      <c r="B250" s="57" t="s">
        <v>326</v>
      </c>
      <c r="C250" s="58">
        <v>1.303</v>
      </c>
      <c r="D250" s="58">
        <v>1.311</v>
      </c>
      <c r="E250" s="59">
        <v>-0.0061</v>
      </c>
      <c r="F250" s="58">
        <v>1.288</v>
      </c>
      <c r="G250" s="59">
        <v>0.0115</v>
      </c>
    </row>
    <row r="251" spans="1:7">
      <c r="A251" s="57">
        <v>512040</v>
      </c>
      <c r="B251" s="57" t="s">
        <v>327</v>
      </c>
      <c r="C251" s="58">
        <v>1.4915</v>
      </c>
      <c r="D251" s="58">
        <v>1.5007</v>
      </c>
      <c r="E251" s="59">
        <v>-0.0061</v>
      </c>
      <c r="F251" s="58">
        <v>1.493</v>
      </c>
      <c r="G251" s="59">
        <v>-0.001</v>
      </c>
    </row>
    <row r="252" spans="1:7">
      <c r="A252" s="57">
        <v>513680</v>
      </c>
      <c r="B252" s="57" t="s">
        <v>328</v>
      </c>
      <c r="C252" s="58">
        <v>0.9307</v>
      </c>
      <c r="D252" s="58">
        <v>0.9364</v>
      </c>
      <c r="E252" s="59">
        <v>-0.0061</v>
      </c>
      <c r="F252" s="58">
        <v>0.923</v>
      </c>
      <c r="G252" s="59">
        <v>0.0083</v>
      </c>
    </row>
    <row r="253" spans="1:7">
      <c r="A253" s="57">
        <v>159811</v>
      </c>
      <c r="B253" s="57" t="s">
        <v>329</v>
      </c>
      <c r="C253" s="58">
        <v>1.1327</v>
      </c>
      <c r="D253" s="58">
        <v>1.1399</v>
      </c>
      <c r="E253" s="59">
        <v>-0.0063</v>
      </c>
      <c r="F253" s="58">
        <v>1.132</v>
      </c>
      <c r="G253" s="59">
        <v>0.0006</v>
      </c>
    </row>
    <row r="254" spans="1:7">
      <c r="A254" s="57">
        <v>159951</v>
      </c>
      <c r="B254" s="57" t="s">
        <v>330</v>
      </c>
      <c r="C254" s="58">
        <v>0.9706</v>
      </c>
      <c r="D254" s="58">
        <v>0.9769</v>
      </c>
      <c r="E254" s="59">
        <v>-0.0064</v>
      </c>
      <c r="F254" s="58">
        <v>0.965</v>
      </c>
      <c r="G254" s="59">
        <v>0.0058</v>
      </c>
    </row>
    <row r="255" spans="1:7">
      <c r="A255" s="57">
        <v>512390</v>
      </c>
      <c r="B255" s="57" t="s">
        <v>331</v>
      </c>
      <c r="C255" s="58">
        <v>1.422</v>
      </c>
      <c r="D255" s="58">
        <v>1.4312</v>
      </c>
      <c r="E255" s="59">
        <v>-0.0064</v>
      </c>
      <c r="F255" s="58">
        <v>1.415</v>
      </c>
      <c r="G255" s="59">
        <v>0.0049</v>
      </c>
    </row>
    <row r="256" spans="1:7">
      <c r="A256" s="57">
        <v>159960</v>
      </c>
      <c r="B256" s="57" t="s">
        <v>332</v>
      </c>
      <c r="C256" s="58">
        <v>0.9903</v>
      </c>
      <c r="D256" s="58">
        <v>0.9969</v>
      </c>
      <c r="E256" s="59">
        <v>-0.0066</v>
      </c>
      <c r="F256" s="58">
        <v>0.985</v>
      </c>
      <c r="G256" s="59">
        <v>0.0054</v>
      </c>
    </row>
    <row r="257" ht="23.25" spans="1:7">
      <c r="A257" s="57">
        <v>159978</v>
      </c>
      <c r="B257" s="57" t="s">
        <v>333</v>
      </c>
      <c r="C257" s="58">
        <v>1.2703</v>
      </c>
      <c r="D257" s="58">
        <v>1.2787</v>
      </c>
      <c r="E257" s="59">
        <v>-0.0066</v>
      </c>
      <c r="F257" s="58">
        <v>1.263</v>
      </c>
      <c r="G257" s="59">
        <v>0.0057</v>
      </c>
    </row>
    <row r="258" spans="1:7">
      <c r="A258" s="57">
        <v>515960</v>
      </c>
      <c r="B258" s="57" t="s">
        <v>334</v>
      </c>
      <c r="C258" s="58">
        <v>1.3498</v>
      </c>
      <c r="D258" s="58">
        <v>1.3587</v>
      </c>
      <c r="E258" s="59">
        <v>-0.0066</v>
      </c>
      <c r="F258" s="58">
        <v>1.352</v>
      </c>
      <c r="G258" s="59">
        <v>-0.0016</v>
      </c>
    </row>
    <row r="259" spans="1:7">
      <c r="A259" s="57">
        <v>510020</v>
      </c>
      <c r="B259" s="57" t="s">
        <v>335</v>
      </c>
      <c r="C259" s="58">
        <v>3.6552</v>
      </c>
      <c r="D259" s="58">
        <v>3.68</v>
      </c>
      <c r="E259" s="59">
        <v>-0.0067</v>
      </c>
      <c r="F259" s="58">
        <v>3.665</v>
      </c>
      <c r="G259" s="59">
        <v>-0.0027</v>
      </c>
    </row>
    <row r="260" spans="1:7">
      <c r="A260" s="57">
        <v>512760</v>
      </c>
      <c r="B260" s="57" t="s">
        <v>336</v>
      </c>
      <c r="C260" s="58">
        <v>1.1702</v>
      </c>
      <c r="D260" s="58">
        <v>1.1781</v>
      </c>
      <c r="E260" s="59">
        <v>-0.0067</v>
      </c>
      <c r="F260" s="58">
        <v>1.17</v>
      </c>
      <c r="G260" s="59">
        <v>0.0002</v>
      </c>
    </row>
    <row r="261" spans="1:7">
      <c r="A261" s="57">
        <v>159939</v>
      </c>
      <c r="B261" s="57" t="s">
        <v>337</v>
      </c>
      <c r="C261" s="58">
        <v>1.3622</v>
      </c>
      <c r="D261" s="58">
        <v>1.3715</v>
      </c>
      <c r="E261" s="59">
        <v>-0.0068</v>
      </c>
      <c r="F261" s="58">
        <v>1.361</v>
      </c>
      <c r="G261" s="59">
        <v>0.0009</v>
      </c>
    </row>
    <row r="262" spans="1:7">
      <c r="A262" s="57">
        <v>159963</v>
      </c>
      <c r="B262" s="57" t="s">
        <v>338</v>
      </c>
      <c r="C262" s="58">
        <v>0.9506</v>
      </c>
      <c r="D262" s="58">
        <v>0.9571</v>
      </c>
      <c r="E262" s="59">
        <v>-0.0068</v>
      </c>
      <c r="F262" s="58">
        <v>0.944</v>
      </c>
      <c r="G262" s="59">
        <v>0.0069</v>
      </c>
    </row>
    <row r="263" spans="1:7">
      <c r="A263" s="57">
        <v>159997</v>
      </c>
      <c r="B263" s="57" t="s">
        <v>339</v>
      </c>
      <c r="C263" s="58">
        <v>1.1937</v>
      </c>
      <c r="D263" s="58">
        <v>1.2019</v>
      </c>
      <c r="E263" s="59">
        <v>-0.0068</v>
      </c>
      <c r="F263" s="58">
        <v>1.191</v>
      </c>
      <c r="G263" s="59">
        <v>0.0023</v>
      </c>
    </row>
    <row r="264" spans="1:7">
      <c r="A264" s="57">
        <v>159813</v>
      </c>
      <c r="B264" s="57" t="s">
        <v>340</v>
      </c>
      <c r="C264" s="58">
        <v>1.0963</v>
      </c>
      <c r="D264" s="58">
        <v>1.104</v>
      </c>
      <c r="E264" s="59">
        <v>-0.007</v>
      </c>
      <c r="F264" s="58">
        <v>1.096</v>
      </c>
      <c r="G264" s="59">
        <v>0.0003</v>
      </c>
    </row>
    <row r="265" spans="1:7">
      <c r="A265" s="57">
        <v>515060</v>
      </c>
      <c r="B265" s="57" t="s">
        <v>341</v>
      </c>
      <c r="C265" s="58">
        <v>0.9875</v>
      </c>
      <c r="D265" s="58">
        <v>0.9946</v>
      </c>
      <c r="E265" s="59">
        <v>-0.0071</v>
      </c>
      <c r="F265" s="58">
        <v>0.988</v>
      </c>
      <c r="G265" s="59">
        <v>-0.0005</v>
      </c>
    </row>
    <row r="266" spans="1:7">
      <c r="A266" s="57">
        <v>159995</v>
      </c>
      <c r="B266" s="57" t="s">
        <v>342</v>
      </c>
      <c r="C266" s="58">
        <v>1.1902</v>
      </c>
      <c r="D266" s="58">
        <v>1.1988</v>
      </c>
      <c r="E266" s="59">
        <v>-0.0072</v>
      </c>
      <c r="F266" s="58">
        <v>1.19</v>
      </c>
      <c r="G266" s="59">
        <v>0.0002</v>
      </c>
    </row>
    <row r="267" spans="1:7">
      <c r="A267" s="57">
        <v>159801</v>
      </c>
      <c r="B267" s="57" t="s">
        <v>343</v>
      </c>
      <c r="C267" s="58">
        <v>1.1755</v>
      </c>
      <c r="D267" s="58">
        <v>1.184</v>
      </c>
      <c r="E267" s="59">
        <v>-0.0072</v>
      </c>
      <c r="F267" s="58">
        <v>1.178</v>
      </c>
      <c r="G267" s="59">
        <v>-0.0021</v>
      </c>
    </row>
    <row r="268" spans="1:7">
      <c r="A268" s="57">
        <v>512200</v>
      </c>
      <c r="B268" s="57" t="s">
        <v>344</v>
      </c>
      <c r="C268" s="58">
        <v>0.8737</v>
      </c>
      <c r="D268" s="58">
        <v>0.8801</v>
      </c>
      <c r="E268" s="59">
        <v>-0.0073</v>
      </c>
      <c r="F268" s="58">
        <v>0.875</v>
      </c>
      <c r="G268" s="59">
        <v>-0.0015</v>
      </c>
    </row>
    <row r="269" spans="1:7">
      <c r="A269" s="57">
        <v>159827</v>
      </c>
      <c r="B269" s="57" t="s">
        <v>345</v>
      </c>
      <c r="C269" s="58">
        <v>0.9977</v>
      </c>
      <c r="D269" s="58">
        <v>1.005</v>
      </c>
      <c r="E269" s="59">
        <v>-0.0073</v>
      </c>
      <c r="F269" s="58">
        <v>1</v>
      </c>
      <c r="G269" s="59">
        <v>-0.0023</v>
      </c>
    </row>
    <row r="270" spans="1:7">
      <c r="A270" s="57">
        <v>159913</v>
      </c>
      <c r="B270" s="57" t="s">
        <v>346</v>
      </c>
      <c r="C270" s="58">
        <v>2.424</v>
      </c>
      <c r="D270" s="58">
        <v>2.442</v>
      </c>
      <c r="E270" s="59">
        <v>-0.0074</v>
      </c>
      <c r="F270" s="58">
        <v>2.458</v>
      </c>
      <c r="G270" s="59">
        <v>-0.014</v>
      </c>
    </row>
    <row r="271" spans="1:7">
      <c r="A271" s="57">
        <v>159966</v>
      </c>
      <c r="B271" s="57" t="s">
        <v>347</v>
      </c>
      <c r="C271" s="58">
        <v>0.6192</v>
      </c>
      <c r="D271" s="58">
        <v>0.6239</v>
      </c>
      <c r="E271" s="59">
        <v>-0.0075</v>
      </c>
      <c r="F271" s="58">
        <v>0.62</v>
      </c>
      <c r="G271" s="59">
        <v>-0.0013</v>
      </c>
    </row>
    <row r="272" spans="1:7">
      <c r="A272" s="57">
        <v>512480</v>
      </c>
      <c r="B272" s="57" t="s">
        <v>348</v>
      </c>
      <c r="C272" s="58">
        <v>2.0683</v>
      </c>
      <c r="D272" s="58">
        <v>2.0843</v>
      </c>
      <c r="E272" s="59">
        <v>-0.0077</v>
      </c>
      <c r="F272" s="58">
        <v>2.068</v>
      </c>
      <c r="G272" s="59">
        <v>0.0001</v>
      </c>
    </row>
    <row r="273" spans="1:7">
      <c r="A273" s="57">
        <v>510150</v>
      </c>
      <c r="B273" s="57" t="s">
        <v>349</v>
      </c>
      <c r="C273" s="58">
        <v>9.3374</v>
      </c>
      <c r="D273" s="58">
        <v>9.4112</v>
      </c>
      <c r="E273" s="59">
        <v>-0.0078</v>
      </c>
      <c r="F273" s="58">
        <v>9.379</v>
      </c>
      <c r="G273" s="59">
        <v>-0.0045</v>
      </c>
    </row>
    <row r="274" spans="1:7">
      <c r="A274" s="57">
        <v>159938</v>
      </c>
      <c r="B274" s="57" t="s">
        <v>350</v>
      </c>
      <c r="C274" s="58">
        <v>2.067</v>
      </c>
      <c r="D274" s="58">
        <v>2.0834</v>
      </c>
      <c r="E274" s="59">
        <v>-0.0079</v>
      </c>
      <c r="F274" s="58">
        <v>2.073</v>
      </c>
      <c r="G274" s="59">
        <v>-0.0029</v>
      </c>
    </row>
    <row r="275" spans="1:7">
      <c r="A275" s="57">
        <v>510060</v>
      </c>
      <c r="B275" s="57" t="s">
        <v>351</v>
      </c>
      <c r="C275" s="58">
        <v>2.0189</v>
      </c>
      <c r="D275" s="58">
        <v>2.0352</v>
      </c>
      <c r="E275" s="59">
        <v>-0.008</v>
      </c>
      <c r="F275" s="58">
        <v>2.012</v>
      </c>
      <c r="G275" s="59">
        <v>0.0034</v>
      </c>
    </row>
    <row r="276" spans="1:7">
      <c r="A276" s="57">
        <v>159918</v>
      </c>
      <c r="B276" s="57" t="s">
        <v>352</v>
      </c>
      <c r="C276" s="58">
        <v>1.94</v>
      </c>
      <c r="D276" s="58">
        <v>1.9563</v>
      </c>
      <c r="E276" s="59">
        <v>-0.0083</v>
      </c>
      <c r="F276" s="58">
        <v>1.949</v>
      </c>
      <c r="G276" s="59">
        <v>-0.0046</v>
      </c>
    </row>
    <row r="277" spans="1:7">
      <c r="A277" s="57">
        <v>512150</v>
      </c>
      <c r="B277" s="57" t="s">
        <v>353</v>
      </c>
      <c r="C277" s="58">
        <v>1.752</v>
      </c>
      <c r="D277" s="58">
        <v>1.7667</v>
      </c>
      <c r="E277" s="59">
        <v>-0.0083</v>
      </c>
      <c r="F277" s="58">
        <v>1.749</v>
      </c>
      <c r="G277" s="59">
        <v>0.0017</v>
      </c>
    </row>
    <row r="278" spans="1:7">
      <c r="A278" s="57">
        <v>512550</v>
      </c>
      <c r="B278" s="57" t="s">
        <v>354</v>
      </c>
      <c r="C278" s="58">
        <v>1.6828</v>
      </c>
      <c r="D278" s="58">
        <v>1.6968</v>
      </c>
      <c r="E278" s="59">
        <v>-0.0083</v>
      </c>
      <c r="F278" s="58">
        <v>1.682</v>
      </c>
      <c r="G278" s="59">
        <v>0.0005</v>
      </c>
    </row>
    <row r="279" spans="1:7">
      <c r="A279" s="57">
        <v>510200</v>
      </c>
      <c r="B279" s="57" t="s">
        <v>355</v>
      </c>
      <c r="C279" s="58">
        <v>1.2434</v>
      </c>
      <c r="D279" s="58">
        <v>1.2538</v>
      </c>
      <c r="E279" s="59">
        <v>-0.0083</v>
      </c>
      <c r="F279" s="58">
        <v>1.241</v>
      </c>
      <c r="G279" s="59">
        <v>0.0019</v>
      </c>
    </row>
    <row r="280" spans="1:7">
      <c r="A280" s="57">
        <v>159809</v>
      </c>
      <c r="B280" s="57" t="s">
        <v>356</v>
      </c>
      <c r="C280" s="58">
        <v>1.2191</v>
      </c>
      <c r="D280" s="58">
        <v>1.2293</v>
      </c>
      <c r="E280" s="59">
        <v>-0.0083</v>
      </c>
      <c r="F280" s="58">
        <v>1.216</v>
      </c>
      <c r="G280" s="59">
        <v>0.0025</v>
      </c>
    </row>
    <row r="281" spans="1:7">
      <c r="A281" s="57">
        <v>515880</v>
      </c>
      <c r="B281" s="57" t="s">
        <v>357</v>
      </c>
      <c r="C281" s="58">
        <v>1.032</v>
      </c>
      <c r="D281" s="58">
        <v>1.0406</v>
      </c>
      <c r="E281" s="59">
        <v>-0.0083</v>
      </c>
      <c r="F281" s="58">
        <v>1.033</v>
      </c>
      <c r="G281" s="59">
        <v>-0.001</v>
      </c>
    </row>
    <row r="282" spans="1:7">
      <c r="A282" s="57">
        <v>510680</v>
      </c>
      <c r="B282" s="57" t="s">
        <v>358</v>
      </c>
      <c r="C282" s="58">
        <v>3.1641</v>
      </c>
      <c r="D282" s="58">
        <v>3.1913</v>
      </c>
      <c r="E282" s="59">
        <v>-0.0085</v>
      </c>
      <c r="F282" s="58">
        <v>3.161</v>
      </c>
      <c r="G282" s="59">
        <v>0.001</v>
      </c>
    </row>
    <row r="283" spans="1:7">
      <c r="A283" s="57">
        <v>510600</v>
      </c>
      <c r="B283" s="57" t="s">
        <v>359</v>
      </c>
      <c r="C283" s="58">
        <v>3.8942</v>
      </c>
      <c r="D283" s="58">
        <v>3.9274</v>
      </c>
      <c r="E283" s="59">
        <v>-0.0085</v>
      </c>
      <c r="F283" s="58">
        <v>3.889</v>
      </c>
      <c r="G283" s="59">
        <v>0.0013</v>
      </c>
    </row>
    <row r="284" spans="1:7">
      <c r="A284" s="57">
        <v>510100</v>
      </c>
      <c r="B284" s="57" t="s">
        <v>360</v>
      </c>
      <c r="C284" s="58">
        <v>1.3475</v>
      </c>
      <c r="D284" s="58">
        <v>1.359</v>
      </c>
      <c r="E284" s="59">
        <v>-0.0085</v>
      </c>
      <c r="F284" s="58">
        <v>1.347</v>
      </c>
      <c r="G284" s="59">
        <v>0.0004</v>
      </c>
    </row>
    <row r="285" spans="1:7">
      <c r="A285" s="57">
        <v>510800</v>
      </c>
      <c r="B285" s="57" t="s">
        <v>361</v>
      </c>
      <c r="C285" s="58">
        <v>1.4143</v>
      </c>
      <c r="D285" s="58">
        <v>1.4266</v>
      </c>
      <c r="E285" s="59">
        <v>-0.0086</v>
      </c>
      <c r="F285" s="58">
        <v>1.415</v>
      </c>
      <c r="G285" s="59">
        <v>-0.0005</v>
      </c>
    </row>
    <row r="286" spans="1:7">
      <c r="A286" s="57">
        <v>510710</v>
      </c>
      <c r="B286" s="57" t="s">
        <v>362</v>
      </c>
      <c r="C286" s="58">
        <v>4.1879</v>
      </c>
      <c r="D286" s="58">
        <v>4.2248</v>
      </c>
      <c r="E286" s="59">
        <v>-0.0087</v>
      </c>
      <c r="F286" s="58">
        <v>4.189</v>
      </c>
      <c r="G286" s="59">
        <v>-0.0003</v>
      </c>
    </row>
    <row r="287" spans="1:7">
      <c r="A287" s="57">
        <v>510050</v>
      </c>
      <c r="B287" s="57" t="s">
        <v>363</v>
      </c>
      <c r="C287" s="58">
        <v>3.504</v>
      </c>
      <c r="D287" s="58">
        <v>3.535</v>
      </c>
      <c r="E287" s="59">
        <v>-0.0088</v>
      </c>
      <c r="F287" s="58">
        <v>3.505</v>
      </c>
      <c r="G287" s="59">
        <v>-0.0003</v>
      </c>
    </row>
    <row r="288" spans="1:7">
      <c r="A288" s="57">
        <v>510850</v>
      </c>
      <c r="B288" s="57" t="s">
        <v>364</v>
      </c>
      <c r="C288" s="58">
        <v>3.5811</v>
      </c>
      <c r="D288" s="58">
        <v>3.6131</v>
      </c>
      <c r="E288" s="59">
        <v>-0.0089</v>
      </c>
      <c r="F288" s="58">
        <v>3.577</v>
      </c>
      <c r="G288" s="59">
        <v>0.0011</v>
      </c>
    </row>
    <row r="289" spans="1:7">
      <c r="A289" s="57">
        <v>515850</v>
      </c>
      <c r="B289" s="57" t="s">
        <v>365</v>
      </c>
      <c r="C289" s="58">
        <v>1.3154</v>
      </c>
      <c r="D289" s="58">
        <v>1.3278</v>
      </c>
      <c r="E289" s="59">
        <v>-0.0093</v>
      </c>
      <c r="F289" s="58">
        <v>1.314</v>
      </c>
      <c r="G289" s="59">
        <v>0.0011</v>
      </c>
    </row>
    <row r="290" spans="1:7">
      <c r="A290" s="57">
        <v>512600</v>
      </c>
      <c r="B290" s="57" t="s">
        <v>366</v>
      </c>
      <c r="C290" s="58">
        <v>4.9225</v>
      </c>
      <c r="D290" s="58">
        <v>4.9742</v>
      </c>
      <c r="E290" s="59">
        <v>-0.0104</v>
      </c>
      <c r="F290" s="58">
        <v>4.933</v>
      </c>
      <c r="G290" s="59">
        <v>-0.0021</v>
      </c>
    </row>
    <row r="291" spans="1:7">
      <c r="A291" s="57">
        <v>159993</v>
      </c>
      <c r="B291" s="57" t="s">
        <v>367</v>
      </c>
      <c r="C291" s="58">
        <v>1.1899</v>
      </c>
      <c r="D291" s="58">
        <v>1.2027</v>
      </c>
      <c r="E291" s="59">
        <v>-0.0106</v>
      </c>
      <c r="F291" s="58">
        <v>1.19</v>
      </c>
      <c r="G291" s="59">
        <v>-0.0001</v>
      </c>
    </row>
    <row r="292" spans="1:7">
      <c r="A292" s="57">
        <v>515010</v>
      </c>
      <c r="B292" s="57" t="s">
        <v>368</v>
      </c>
      <c r="C292" s="58">
        <v>1.2726</v>
      </c>
      <c r="D292" s="58">
        <v>1.2862</v>
      </c>
      <c r="E292" s="59">
        <v>-0.0106</v>
      </c>
      <c r="F292" s="58">
        <v>1.272</v>
      </c>
      <c r="G292" s="59">
        <v>0.0005</v>
      </c>
    </row>
    <row r="293" spans="1:7">
      <c r="A293" s="57">
        <v>515560</v>
      </c>
      <c r="B293" s="57" t="s">
        <v>369</v>
      </c>
      <c r="C293" s="58">
        <v>1.0383</v>
      </c>
      <c r="D293" s="58">
        <v>1.0495</v>
      </c>
      <c r="E293" s="59">
        <v>-0.0107</v>
      </c>
      <c r="F293" s="58">
        <v>1.039</v>
      </c>
      <c r="G293" s="59">
        <v>-0.0007</v>
      </c>
    </row>
    <row r="294" spans="1:7">
      <c r="A294" s="57">
        <v>159928</v>
      </c>
      <c r="B294" s="57" t="s">
        <v>370</v>
      </c>
      <c r="C294" s="58">
        <v>4.9444</v>
      </c>
      <c r="D294" s="58">
        <v>4.9985</v>
      </c>
      <c r="E294" s="59">
        <v>-0.0108</v>
      </c>
      <c r="F294" s="58">
        <v>4.952</v>
      </c>
      <c r="G294" s="59">
        <v>-0.0015</v>
      </c>
    </row>
    <row r="295" spans="1:7">
      <c r="A295" s="57">
        <v>512000</v>
      </c>
      <c r="B295" s="57" t="s">
        <v>371</v>
      </c>
      <c r="C295" s="58">
        <v>1.1217</v>
      </c>
      <c r="D295" s="58">
        <v>1.134</v>
      </c>
      <c r="E295" s="59">
        <v>-0.0108</v>
      </c>
      <c r="F295" s="58">
        <v>1.122</v>
      </c>
      <c r="G295" s="59">
        <v>-0.0003</v>
      </c>
    </row>
    <row r="296" spans="1:7">
      <c r="A296" s="57">
        <v>512900</v>
      </c>
      <c r="B296" s="57" t="s">
        <v>372</v>
      </c>
      <c r="C296" s="58">
        <v>1.1601</v>
      </c>
      <c r="D296" s="58">
        <v>1.1728</v>
      </c>
      <c r="E296" s="59">
        <v>-0.0108</v>
      </c>
      <c r="F296" s="58">
        <v>1.163</v>
      </c>
      <c r="G296" s="59">
        <v>-0.0025</v>
      </c>
    </row>
    <row r="297" spans="1:7">
      <c r="A297" s="57">
        <v>512330</v>
      </c>
      <c r="B297" s="57" t="s">
        <v>373</v>
      </c>
      <c r="C297" s="58">
        <v>1.0414</v>
      </c>
      <c r="D297" s="58">
        <v>1.0528</v>
      </c>
      <c r="E297" s="59">
        <v>-0.0108</v>
      </c>
      <c r="F297" s="58">
        <v>1.042</v>
      </c>
      <c r="G297" s="59">
        <v>-0.0006</v>
      </c>
    </row>
    <row r="298" spans="1:7">
      <c r="A298" s="57">
        <v>159804</v>
      </c>
      <c r="B298" s="57" t="s">
        <v>374</v>
      </c>
      <c r="C298" s="58">
        <v>1.1619</v>
      </c>
      <c r="D298" s="58">
        <v>1.1746</v>
      </c>
      <c r="E298" s="59">
        <v>-0.0108</v>
      </c>
      <c r="F298" s="58">
        <v>1.165</v>
      </c>
      <c r="G298" s="59">
        <v>-0.0027</v>
      </c>
    </row>
    <row r="299" spans="1:7">
      <c r="A299" s="57">
        <v>159994</v>
      </c>
      <c r="B299" s="57" t="s">
        <v>375</v>
      </c>
      <c r="C299" s="58">
        <v>0.9686</v>
      </c>
      <c r="D299" s="58">
        <v>0.9792</v>
      </c>
      <c r="E299" s="59">
        <v>-0.0108</v>
      </c>
      <c r="F299" s="58">
        <v>0.968</v>
      </c>
      <c r="G299" s="59">
        <v>0.0006</v>
      </c>
    </row>
    <row r="300" spans="1:7">
      <c r="A300" s="57">
        <v>512570</v>
      </c>
      <c r="B300" s="57" t="s">
        <v>376</v>
      </c>
      <c r="C300" s="58">
        <v>1.1467</v>
      </c>
      <c r="D300" s="58">
        <v>1.1593</v>
      </c>
      <c r="E300" s="59">
        <v>-0.0109</v>
      </c>
      <c r="F300" s="58">
        <v>1.148</v>
      </c>
      <c r="G300" s="59">
        <v>-0.0011</v>
      </c>
    </row>
    <row r="301" spans="1:7">
      <c r="A301" s="57">
        <v>515050</v>
      </c>
      <c r="B301" s="57" t="s">
        <v>377</v>
      </c>
      <c r="C301" s="58">
        <v>1.1719</v>
      </c>
      <c r="D301" s="58">
        <v>1.1848</v>
      </c>
      <c r="E301" s="59">
        <v>-0.0109</v>
      </c>
      <c r="F301" s="58">
        <v>1.172</v>
      </c>
      <c r="G301" s="59">
        <v>-0.0001</v>
      </c>
    </row>
    <row r="302" spans="1:7">
      <c r="A302" s="57">
        <v>512880</v>
      </c>
      <c r="B302" s="57" t="s">
        <v>378</v>
      </c>
      <c r="C302" s="58">
        <v>1.1738</v>
      </c>
      <c r="D302" s="58">
        <v>1.1869</v>
      </c>
      <c r="E302" s="59">
        <v>-0.011</v>
      </c>
      <c r="F302" s="58">
        <v>1.173</v>
      </c>
      <c r="G302" s="59">
        <v>0.0007</v>
      </c>
    </row>
    <row r="303" spans="1:7">
      <c r="A303" s="57">
        <v>512170</v>
      </c>
      <c r="B303" s="57" t="s">
        <v>379</v>
      </c>
      <c r="C303" s="58">
        <v>2.2382</v>
      </c>
      <c r="D303" s="58">
        <v>2.2637</v>
      </c>
      <c r="E303" s="59">
        <v>-0.0113</v>
      </c>
      <c r="F303" s="58">
        <v>2.238</v>
      </c>
      <c r="G303" s="59">
        <v>0.0001</v>
      </c>
    </row>
    <row r="304" spans="1:7">
      <c r="A304" s="57">
        <v>510630</v>
      </c>
      <c r="B304" s="57" t="s">
        <v>380</v>
      </c>
      <c r="C304" s="58">
        <v>5.5113</v>
      </c>
      <c r="D304" s="58">
        <v>5.5762</v>
      </c>
      <c r="E304" s="59">
        <v>-0.0116</v>
      </c>
      <c r="F304" s="58">
        <v>5.518</v>
      </c>
      <c r="G304" s="59">
        <v>-0.0012</v>
      </c>
    </row>
    <row r="305" spans="1:7">
      <c r="A305" s="57">
        <v>510650</v>
      </c>
      <c r="B305" s="57" t="s">
        <v>381</v>
      </c>
      <c r="C305" s="58">
        <v>2.1107</v>
      </c>
      <c r="D305" s="58">
        <v>2.1355</v>
      </c>
      <c r="E305" s="59">
        <v>-0.0116</v>
      </c>
      <c r="F305" s="58">
        <v>2.105</v>
      </c>
      <c r="G305" s="59">
        <v>0.0027</v>
      </c>
    </row>
    <row r="306" spans="1:7">
      <c r="A306" s="57">
        <v>515630</v>
      </c>
      <c r="B306" s="57" t="s">
        <v>382</v>
      </c>
      <c r="C306" s="58">
        <v>1.2917</v>
      </c>
      <c r="D306" s="58">
        <v>1.3068</v>
      </c>
      <c r="E306" s="59">
        <v>-0.0116</v>
      </c>
      <c r="F306" s="58">
        <v>1.291</v>
      </c>
      <c r="G306" s="59">
        <v>0.0005</v>
      </c>
    </row>
    <row r="307" spans="1:7">
      <c r="A307" s="57">
        <v>512640</v>
      </c>
      <c r="B307" s="57" t="s">
        <v>383</v>
      </c>
      <c r="C307" s="58">
        <v>2.1831</v>
      </c>
      <c r="D307" s="58">
        <v>2.2091</v>
      </c>
      <c r="E307" s="59">
        <v>-0.0118</v>
      </c>
      <c r="F307" s="58">
        <v>2.181</v>
      </c>
      <c r="G307" s="59">
        <v>0.001</v>
      </c>
    </row>
    <row r="308" spans="1:7">
      <c r="A308" s="57">
        <v>510660</v>
      </c>
      <c r="B308" s="57" t="s">
        <v>384</v>
      </c>
      <c r="C308" s="58">
        <v>3.1475</v>
      </c>
      <c r="D308" s="58">
        <v>3.1855</v>
      </c>
      <c r="E308" s="59">
        <v>-0.0119</v>
      </c>
      <c r="F308" s="58">
        <v>3.149</v>
      </c>
      <c r="G308" s="59">
        <v>-0.0005</v>
      </c>
    </row>
    <row r="309" spans="1:7">
      <c r="A309" s="57">
        <v>159933</v>
      </c>
      <c r="B309" s="57" t="s">
        <v>385</v>
      </c>
      <c r="C309" s="58">
        <v>2.5231</v>
      </c>
      <c r="D309" s="58">
        <v>2.5534</v>
      </c>
      <c r="E309" s="59">
        <v>-0.0119</v>
      </c>
      <c r="F309" s="58">
        <v>2.512</v>
      </c>
      <c r="G309" s="59">
        <v>0.0044</v>
      </c>
    </row>
    <row r="310" spans="1:7">
      <c r="A310" s="57">
        <v>510690</v>
      </c>
      <c r="B310" s="57" t="s">
        <v>386</v>
      </c>
      <c r="C310" s="58">
        <v>1.1502</v>
      </c>
      <c r="D310" s="58">
        <v>1.1641</v>
      </c>
      <c r="E310" s="59">
        <v>-0.0119</v>
      </c>
      <c r="F310" s="58">
        <v>1.144</v>
      </c>
      <c r="G310" s="59">
        <v>0.0054</v>
      </c>
    </row>
    <row r="311" spans="1:7">
      <c r="A311" s="57">
        <v>510230</v>
      </c>
      <c r="B311" s="57" t="s">
        <v>387</v>
      </c>
      <c r="C311" s="58">
        <v>1.1642</v>
      </c>
      <c r="D311" s="58">
        <v>1.1784</v>
      </c>
      <c r="E311" s="59">
        <v>-0.0121</v>
      </c>
      <c r="F311" s="58">
        <v>1.162</v>
      </c>
      <c r="G311" s="59">
        <v>0.0019</v>
      </c>
    </row>
    <row r="312" spans="1:7">
      <c r="A312" s="57">
        <v>159940</v>
      </c>
      <c r="B312" s="57" t="s">
        <v>388</v>
      </c>
      <c r="C312" s="58">
        <v>1.1135</v>
      </c>
      <c r="D312" s="58">
        <v>1.1271</v>
      </c>
      <c r="E312" s="59">
        <v>-0.0121</v>
      </c>
      <c r="F312" s="58">
        <v>1.117</v>
      </c>
      <c r="G312" s="59">
        <v>-0.0031</v>
      </c>
    </row>
    <row r="313" spans="1:7">
      <c r="A313" s="57">
        <v>512070</v>
      </c>
      <c r="B313" s="57" t="s">
        <v>389</v>
      </c>
      <c r="C313" s="58">
        <v>2.5865</v>
      </c>
      <c r="D313" s="58">
        <v>2.6184</v>
      </c>
      <c r="E313" s="59">
        <v>-0.0122</v>
      </c>
      <c r="F313" s="58">
        <v>2.581</v>
      </c>
      <c r="G313" s="59">
        <v>0.0021</v>
      </c>
    </row>
    <row r="314" spans="1:7">
      <c r="A314" s="57">
        <v>512730</v>
      </c>
      <c r="B314" s="57" t="s">
        <v>390</v>
      </c>
      <c r="C314" s="58">
        <v>1.0817</v>
      </c>
      <c r="D314" s="58">
        <v>1.0952</v>
      </c>
      <c r="E314" s="59">
        <v>-0.0123</v>
      </c>
      <c r="F314" s="58">
        <v>1.08</v>
      </c>
      <c r="G314" s="59">
        <v>0.0016</v>
      </c>
    </row>
    <row r="315" spans="1:7">
      <c r="A315" s="57">
        <v>159931</v>
      </c>
      <c r="B315" s="57" t="s">
        <v>391</v>
      </c>
      <c r="C315" s="58">
        <v>1.823</v>
      </c>
      <c r="D315" s="58">
        <v>1.846</v>
      </c>
      <c r="E315" s="59">
        <v>-0.0125</v>
      </c>
      <c r="F315" s="58">
        <v>1.824</v>
      </c>
      <c r="G315" s="59">
        <v>-0.0005</v>
      </c>
    </row>
    <row r="316" spans="1:7">
      <c r="A316" s="57">
        <v>515280</v>
      </c>
      <c r="B316" s="57" t="s">
        <v>392</v>
      </c>
      <c r="C316" s="58">
        <v>1.1655</v>
      </c>
      <c r="D316" s="58">
        <v>1.1803</v>
      </c>
      <c r="E316" s="59">
        <v>-0.0125</v>
      </c>
      <c r="F316" s="58">
        <v>1.163</v>
      </c>
      <c r="G316" s="59">
        <v>0.0021</v>
      </c>
    </row>
    <row r="317" spans="1:7">
      <c r="A317" s="57">
        <v>515020</v>
      </c>
      <c r="B317" s="57" t="s">
        <v>393</v>
      </c>
      <c r="C317" s="58">
        <v>1.1053</v>
      </c>
      <c r="D317" s="58">
        <v>1.1195</v>
      </c>
      <c r="E317" s="59">
        <v>-0.0127</v>
      </c>
      <c r="F317" s="58">
        <v>1.105</v>
      </c>
      <c r="G317" s="59">
        <v>0.0003</v>
      </c>
    </row>
    <row r="318" spans="1:7">
      <c r="A318" s="57">
        <v>512700</v>
      </c>
      <c r="B318" s="57" t="s">
        <v>394</v>
      </c>
      <c r="C318" s="58">
        <v>1.1798</v>
      </c>
      <c r="D318" s="58">
        <v>1.1951</v>
      </c>
      <c r="E318" s="59">
        <v>-0.0128</v>
      </c>
      <c r="F318" s="58">
        <v>1.178</v>
      </c>
      <c r="G318" s="59">
        <v>0.0015</v>
      </c>
    </row>
    <row r="319" spans="1:7">
      <c r="A319" s="57">
        <v>512800</v>
      </c>
      <c r="B319" s="57" t="s">
        <v>395</v>
      </c>
      <c r="C319" s="58">
        <v>1.1292</v>
      </c>
      <c r="D319" s="58">
        <v>1.1438</v>
      </c>
      <c r="E319" s="59">
        <v>-0.0128</v>
      </c>
      <c r="F319" s="58">
        <v>1.128</v>
      </c>
      <c r="G319" s="59">
        <v>0.0011</v>
      </c>
    </row>
    <row r="320" spans="1:7">
      <c r="A320" s="57">
        <v>512820</v>
      </c>
      <c r="B320" s="57" t="s">
        <v>396</v>
      </c>
      <c r="C320" s="58">
        <v>1.1479</v>
      </c>
      <c r="D320" s="58">
        <v>1.1629</v>
      </c>
      <c r="E320" s="59">
        <v>-0.0129</v>
      </c>
      <c r="F320" s="58">
        <v>1.144</v>
      </c>
      <c r="G320" s="59">
        <v>0.0034</v>
      </c>
    </row>
    <row r="321" spans="1:7">
      <c r="A321" s="57">
        <v>515650</v>
      </c>
      <c r="B321" s="57" t="s">
        <v>397</v>
      </c>
      <c r="C321" s="58">
        <v>1.5977</v>
      </c>
      <c r="D321" s="58">
        <v>1.6187</v>
      </c>
      <c r="E321" s="59">
        <v>-0.013</v>
      </c>
      <c r="F321" s="58">
        <v>1.595</v>
      </c>
      <c r="G321" s="59">
        <v>0.0017</v>
      </c>
    </row>
    <row r="322" spans="1:7">
      <c r="A322" s="57">
        <v>512300</v>
      </c>
      <c r="B322" s="57" t="s">
        <v>398</v>
      </c>
      <c r="C322" s="58">
        <v>1.5931</v>
      </c>
      <c r="D322" s="58">
        <v>1.6171</v>
      </c>
      <c r="E322" s="59">
        <v>-0.0148</v>
      </c>
      <c r="F322" s="58">
        <v>1.59</v>
      </c>
      <c r="G322" s="59">
        <v>0.0019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Q17" sqref="Q17"/>
    </sheetView>
  </sheetViews>
  <sheetFormatPr defaultColWidth="9" defaultRowHeight="13.5"/>
  <cols>
    <col min="1" max="1" width="8.125" style="17" customWidth="1"/>
    <col min="2" max="4" width="7.375" style="17" customWidth="1"/>
    <col min="5" max="5" width="3.375" style="17" customWidth="1"/>
    <col min="6" max="6" width="7.375" style="17" customWidth="1"/>
    <col min="7" max="7" width="8.375" style="17" customWidth="1"/>
    <col min="8" max="8" width="4.375" style="17" customWidth="1"/>
    <col min="9" max="10" width="5.375" style="17" customWidth="1"/>
    <col min="11" max="13" width="6.375" style="17" customWidth="1"/>
    <col min="14" max="14" width="12.625" style="17" customWidth="1"/>
    <col min="15" max="16384" width="9" style="17"/>
  </cols>
  <sheetData>
    <row r="1" spans="1:14">
      <c r="A1" s="17" t="s">
        <v>72</v>
      </c>
      <c r="B1" s="17" t="s">
        <v>1</v>
      </c>
      <c r="C1" s="17" t="s">
        <v>76</v>
      </c>
      <c r="D1" s="17" t="s">
        <v>399</v>
      </c>
      <c r="E1" s="17" t="s">
        <v>400</v>
      </c>
      <c r="F1" s="17" t="s">
        <v>401</v>
      </c>
      <c r="G1" s="17" t="s">
        <v>402</v>
      </c>
      <c r="H1" s="17" t="s">
        <v>5</v>
      </c>
      <c r="I1" s="17" t="s">
        <v>6</v>
      </c>
      <c r="J1" s="17" t="s">
        <v>8</v>
      </c>
      <c r="K1" s="17" t="s">
        <v>403</v>
      </c>
      <c r="L1" s="17" t="s">
        <v>404</v>
      </c>
      <c r="M1" s="17" t="s">
        <v>405</v>
      </c>
      <c r="N1" s="17" t="s">
        <v>406</v>
      </c>
    </row>
    <row r="2" spans="1:14">
      <c r="A2" s="51" t="s">
        <v>407</v>
      </c>
      <c r="B2" s="17">
        <v>601398</v>
      </c>
      <c r="C2" s="17">
        <v>5</v>
      </c>
      <c r="D2" s="52">
        <v>0</v>
      </c>
      <c r="E2" s="52"/>
      <c r="F2" s="52"/>
      <c r="L2" s="17">
        <f t="shared" ref="L2:L21" si="0">C2*100</f>
        <v>500</v>
      </c>
      <c r="M2" s="17">
        <v>23000</v>
      </c>
      <c r="N2" s="17">
        <f t="shared" ref="N2:N21" si="1">M2/L2</f>
        <v>46</v>
      </c>
    </row>
    <row r="3" spans="1:14">
      <c r="A3" s="51" t="s">
        <v>408</v>
      </c>
      <c r="B3" s="73" t="s">
        <v>409</v>
      </c>
      <c r="C3" s="17">
        <v>5.4</v>
      </c>
      <c r="D3" s="53">
        <v>0.0425</v>
      </c>
      <c r="E3" s="53"/>
      <c r="F3" s="53"/>
      <c r="L3" s="17">
        <f t="shared" si="0"/>
        <v>540</v>
      </c>
      <c r="M3" s="17">
        <v>23000</v>
      </c>
      <c r="N3" s="17">
        <f t="shared" si="1"/>
        <v>42.5925925925926</v>
      </c>
    </row>
    <row r="4" spans="1:14">
      <c r="A4" s="51" t="s">
        <v>410</v>
      </c>
      <c r="B4" s="17">
        <v>600900</v>
      </c>
      <c r="C4" s="17">
        <v>19.58</v>
      </c>
      <c r="D4" s="53">
        <v>-0.0086</v>
      </c>
      <c r="E4" s="53"/>
      <c r="F4" s="53"/>
      <c r="L4" s="17">
        <f t="shared" si="0"/>
        <v>1958</v>
      </c>
      <c r="M4" s="17">
        <v>23000</v>
      </c>
      <c r="N4" s="17">
        <f t="shared" si="1"/>
        <v>11.7466802860061</v>
      </c>
    </row>
    <row r="5" spans="1:14">
      <c r="A5" s="51" t="s">
        <v>411</v>
      </c>
      <c r="B5" s="17">
        <v>601166</v>
      </c>
      <c r="C5" s="17">
        <v>20.14</v>
      </c>
      <c r="D5" s="54">
        <v>-0.0156</v>
      </c>
      <c r="E5" s="54"/>
      <c r="F5" s="54"/>
      <c r="L5" s="17">
        <f t="shared" si="0"/>
        <v>2014</v>
      </c>
      <c r="M5" s="17">
        <v>23000</v>
      </c>
      <c r="N5" s="17">
        <f t="shared" si="1"/>
        <v>11.4200595829196</v>
      </c>
    </row>
    <row r="6" spans="1:14">
      <c r="A6" s="51" t="s">
        <v>412</v>
      </c>
      <c r="B6" s="17">
        <v>300059</v>
      </c>
      <c r="C6" s="17">
        <v>27.59</v>
      </c>
      <c r="D6" s="53">
        <v>0.0257</v>
      </c>
      <c r="E6" s="53"/>
      <c r="F6" s="53"/>
      <c r="L6" s="17">
        <f t="shared" si="0"/>
        <v>2759</v>
      </c>
      <c r="M6" s="17">
        <v>23000</v>
      </c>
      <c r="N6" s="17">
        <f t="shared" si="1"/>
        <v>8.33635375135919</v>
      </c>
    </row>
    <row r="7" spans="1:14">
      <c r="A7" s="51" t="s">
        <v>413</v>
      </c>
      <c r="B7" s="73" t="s">
        <v>414</v>
      </c>
      <c r="C7" s="17">
        <v>28.17</v>
      </c>
      <c r="D7" s="53">
        <v>-0.0116</v>
      </c>
      <c r="E7" s="53"/>
      <c r="F7" s="53"/>
      <c r="L7" s="17">
        <f t="shared" si="0"/>
        <v>2817</v>
      </c>
      <c r="M7" s="17">
        <v>23000</v>
      </c>
      <c r="N7" s="17">
        <f t="shared" si="1"/>
        <v>8.16471423500177</v>
      </c>
    </row>
    <row r="8" spans="1:14">
      <c r="A8" s="51" t="s">
        <v>415</v>
      </c>
      <c r="B8" s="17">
        <v>600030</v>
      </c>
      <c r="C8" s="17">
        <v>29.03</v>
      </c>
      <c r="D8" s="54">
        <v>0.0076</v>
      </c>
      <c r="E8" s="54"/>
      <c r="F8" s="54"/>
      <c r="L8" s="17">
        <f t="shared" si="0"/>
        <v>2903</v>
      </c>
      <c r="M8" s="17">
        <v>23000</v>
      </c>
      <c r="N8" s="17">
        <f t="shared" si="1"/>
        <v>7.92283844299001</v>
      </c>
    </row>
    <row r="9" spans="1:14">
      <c r="A9" s="51" t="s">
        <v>416</v>
      </c>
      <c r="B9" s="17">
        <v>600887</v>
      </c>
      <c r="C9" s="17">
        <v>41.5</v>
      </c>
      <c r="D9" s="54">
        <v>0.0197</v>
      </c>
      <c r="E9" s="54"/>
      <c r="F9" s="54"/>
      <c r="L9" s="17">
        <f t="shared" si="0"/>
        <v>4150</v>
      </c>
      <c r="M9" s="17">
        <v>23000</v>
      </c>
      <c r="N9" s="17">
        <f t="shared" si="1"/>
        <v>5.54216867469879</v>
      </c>
    </row>
    <row r="10" spans="1:14">
      <c r="A10" s="51" t="s">
        <v>417</v>
      </c>
      <c r="B10" s="17">
        <v>600036</v>
      </c>
      <c r="C10" s="17">
        <v>42.89</v>
      </c>
      <c r="D10" s="54">
        <v>-0.0049</v>
      </c>
      <c r="E10" s="54"/>
      <c r="F10" s="54"/>
      <c r="L10" s="17">
        <f t="shared" si="0"/>
        <v>4289</v>
      </c>
      <c r="M10" s="17">
        <v>23000</v>
      </c>
      <c r="N10" s="17">
        <f t="shared" si="1"/>
        <v>5.3625553742131</v>
      </c>
    </row>
    <row r="11" spans="1:14">
      <c r="A11" s="51" t="s">
        <v>418</v>
      </c>
      <c r="B11" s="73" t="s">
        <v>419</v>
      </c>
      <c r="C11" s="17">
        <v>45.19</v>
      </c>
      <c r="D11" s="53">
        <v>-0.015</v>
      </c>
      <c r="E11" s="53"/>
      <c r="F11" s="53"/>
      <c r="L11" s="17">
        <f t="shared" si="0"/>
        <v>4519</v>
      </c>
      <c r="M11" s="17">
        <v>23000</v>
      </c>
      <c r="N11" s="17">
        <f t="shared" si="1"/>
        <v>5.08962159769861</v>
      </c>
    </row>
    <row r="12" spans="1:14">
      <c r="A12" s="51" t="s">
        <v>420</v>
      </c>
      <c r="B12" s="73" t="s">
        <v>421</v>
      </c>
      <c r="C12" s="17">
        <v>52.92</v>
      </c>
      <c r="D12" s="53">
        <v>0.028</v>
      </c>
      <c r="E12" s="53"/>
      <c r="F12" s="53"/>
      <c r="L12" s="17">
        <f t="shared" si="0"/>
        <v>5292</v>
      </c>
      <c r="M12" s="17">
        <v>23000</v>
      </c>
      <c r="N12" s="17">
        <f t="shared" si="1"/>
        <v>4.34618291761149</v>
      </c>
    </row>
    <row r="13" spans="1:14">
      <c r="A13" s="51" t="s">
        <v>422</v>
      </c>
      <c r="B13" s="73" t="s">
        <v>423</v>
      </c>
      <c r="C13" s="17">
        <v>60.7</v>
      </c>
      <c r="D13" s="53">
        <v>-0.0109</v>
      </c>
      <c r="E13" s="53"/>
      <c r="F13" s="53"/>
      <c r="L13" s="17">
        <f t="shared" si="0"/>
        <v>6070</v>
      </c>
      <c r="M13" s="17">
        <v>23000</v>
      </c>
      <c r="N13" s="17">
        <f t="shared" si="1"/>
        <v>3.78912685337727</v>
      </c>
    </row>
    <row r="14" spans="1:14">
      <c r="A14" s="51" t="s">
        <v>424</v>
      </c>
      <c r="B14" s="17">
        <v>601012</v>
      </c>
      <c r="C14" s="17">
        <v>85.42</v>
      </c>
      <c r="D14" s="54">
        <v>0.1001</v>
      </c>
      <c r="E14" s="54"/>
      <c r="F14" s="54"/>
      <c r="L14" s="17">
        <f t="shared" si="0"/>
        <v>8542</v>
      </c>
      <c r="M14" s="17">
        <v>23000</v>
      </c>
      <c r="N14" s="17">
        <f t="shared" si="1"/>
        <v>2.69257785062046</v>
      </c>
    </row>
    <row r="15" spans="1:14">
      <c r="A15" s="51" t="s">
        <v>425</v>
      </c>
      <c r="B15" s="17">
        <v>601318</v>
      </c>
      <c r="C15" s="17">
        <v>87.05</v>
      </c>
      <c r="D15" s="54">
        <v>-0.0084</v>
      </c>
      <c r="E15" s="54"/>
      <c r="F15" s="54"/>
      <c r="L15" s="17">
        <f t="shared" si="0"/>
        <v>8705</v>
      </c>
      <c r="M15" s="17">
        <v>23000</v>
      </c>
      <c r="N15" s="17">
        <f t="shared" si="1"/>
        <v>2.64215967834578</v>
      </c>
    </row>
    <row r="16" spans="1:14">
      <c r="A16" s="51" t="s">
        <v>426</v>
      </c>
      <c r="B16" s="73" t="s">
        <v>427</v>
      </c>
      <c r="C16" s="17">
        <v>88.81</v>
      </c>
      <c r="D16" s="53">
        <v>-0.0055</v>
      </c>
      <c r="E16" s="53"/>
      <c r="F16" s="53"/>
      <c r="L16" s="17">
        <f t="shared" si="0"/>
        <v>8881</v>
      </c>
      <c r="M16" s="17">
        <v>23000</v>
      </c>
      <c r="N16" s="17">
        <f t="shared" si="1"/>
        <v>2.58979844612093</v>
      </c>
    </row>
    <row r="17" spans="1:14">
      <c r="A17" s="51" t="s">
        <v>428</v>
      </c>
      <c r="B17" s="17">
        <v>600276</v>
      </c>
      <c r="C17" s="17">
        <v>107.86</v>
      </c>
      <c r="D17" s="54">
        <v>0.0208</v>
      </c>
      <c r="E17" s="54"/>
      <c r="F17" s="54"/>
      <c r="L17" s="17">
        <f t="shared" si="0"/>
        <v>10786</v>
      </c>
      <c r="M17" s="17">
        <v>23000</v>
      </c>
      <c r="N17" s="17">
        <f t="shared" si="1"/>
        <v>2.13239384387169</v>
      </c>
    </row>
    <row r="18" spans="1:14">
      <c r="A18" s="51" t="s">
        <v>429</v>
      </c>
      <c r="B18" s="17">
        <v>603288</v>
      </c>
      <c r="C18" s="17">
        <v>194.3</v>
      </c>
      <c r="D18" s="53">
        <v>0.0278</v>
      </c>
      <c r="E18" s="53"/>
      <c r="F18" s="53"/>
      <c r="L18" s="17">
        <f t="shared" si="0"/>
        <v>19430</v>
      </c>
      <c r="M18" s="17">
        <v>23000</v>
      </c>
      <c r="N18" s="17">
        <f t="shared" si="1"/>
        <v>1.18373648996397</v>
      </c>
    </row>
    <row r="19" spans="1:14">
      <c r="A19" s="51" t="s">
        <v>430</v>
      </c>
      <c r="B19" s="17">
        <v>601888</v>
      </c>
      <c r="C19" s="17">
        <v>229.13</v>
      </c>
      <c r="D19" s="54">
        <v>0.0547</v>
      </c>
      <c r="E19" s="54"/>
      <c r="F19" s="54"/>
      <c r="L19" s="17">
        <f t="shared" si="0"/>
        <v>22913</v>
      </c>
      <c r="M19" s="17">
        <v>23000</v>
      </c>
      <c r="N19" s="17">
        <f t="shared" si="1"/>
        <v>1.00379697115175</v>
      </c>
    </row>
    <row r="20" spans="1:14">
      <c r="A20" s="51" t="s">
        <v>431</v>
      </c>
      <c r="B20" s="73" t="s">
        <v>432</v>
      </c>
      <c r="C20" s="17">
        <v>281.91</v>
      </c>
      <c r="D20" s="55">
        <v>0.0182</v>
      </c>
      <c r="E20" s="55"/>
      <c r="F20" s="55"/>
      <c r="L20" s="17">
        <f t="shared" si="0"/>
        <v>28191</v>
      </c>
      <c r="M20" s="17">
        <v>23000</v>
      </c>
      <c r="N20" s="17">
        <f t="shared" si="1"/>
        <v>0.815863218757759</v>
      </c>
    </row>
    <row r="21" spans="1:14">
      <c r="A21" s="51" t="s">
        <v>433</v>
      </c>
      <c r="B21" s="17">
        <v>300750</v>
      </c>
      <c r="C21" s="17">
        <v>325</v>
      </c>
      <c r="D21" s="53">
        <v>0.1207</v>
      </c>
      <c r="E21" s="53"/>
      <c r="F21" s="53"/>
      <c r="L21" s="17">
        <f t="shared" si="0"/>
        <v>32500</v>
      </c>
      <c r="M21" s="17">
        <v>23000</v>
      </c>
      <c r="N21" s="17">
        <f t="shared" si="1"/>
        <v>0.707692307692308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workbookViewId="0">
      <selection activeCell="A11" sqref="A11"/>
    </sheetView>
  </sheetViews>
  <sheetFormatPr defaultColWidth="9" defaultRowHeight="13.5"/>
  <cols>
    <col min="1" max="16384" width="9" style="10"/>
  </cols>
  <sheetData>
    <row r="1" ht="15.75" spans="1:20">
      <c r="A1" s="10">
        <v>510180</v>
      </c>
      <c r="B1" s="47">
        <v>1</v>
      </c>
      <c r="C1" s="48" t="s">
        <v>434</v>
      </c>
      <c r="D1" s="49">
        <v>0.082</v>
      </c>
      <c r="E1" s="47">
        <v>178936.95</v>
      </c>
      <c r="F1" s="10">
        <v>510050</v>
      </c>
      <c r="G1" s="47">
        <v>1</v>
      </c>
      <c r="H1" s="50" t="s">
        <v>434</v>
      </c>
      <c r="I1" s="49">
        <v>0.131</v>
      </c>
      <c r="J1" s="47">
        <v>604661.56</v>
      </c>
      <c r="K1" s="10">
        <v>510300</v>
      </c>
      <c r="L1" s="47">
        <v>1</v>
      </c>
      <c r="M1" s="50" t="s">
        <v>434</v>
      </c>
      <c r="N1" s="49">
        <v>0.0495</v>
      </c>
      <c r="O1" s="47">
        <v>188780.6</v>
      </c>
      <c r="P1" s="10">
        <v>512090</v>
      </c>
      <c r="Q1" s="47">
        <v>1</v>
      </c>
      <c r="R1" s="50" t="s">
        <v>434</v>
      </c>
      <c r="S1" s="49">
        <v>0.0571</v>
      </c>
      <c r="T1" s="47">
        <v>2669.6</v>
      </c>
    </row>
    <row r="2" ht="15.75" spans="2:20">
      <c r="B2" s="47">
        <v>2</v>
      </c>
      <c r="C2" s="48" t="s">
        <v>425</v>
      </c>
      <c r="D2" s="49">
        <v>0.0808</v>
      </c>
      <c r="E2" s="47">
        <v>176313.39</v>
      </c>
      <c r="G2" s="47">
        <v>2</v>
      </c>
      <c r="H2" s="50" t="s">
        <v>425</v>
      </c>
      <c r="I2" s="49">
        <v>0.1292</v>
      </c>
      <c r="J2" s="47">
        <v>596471.71</v>
      </c>
      <c r="L2" s="47">
        <v>2</v>
      </c>
      <c r="M2" s="50" t="s">
        <v>425</v>
      </c>
      <c r="N2" s="49">
        <v>0.0492</v>
      </c>
      <c r="O2" s="47">
        <v>187779.01</v>
      </c>
      <c r="Q2" s="47">
        <v>2</v>
      </c>
      <c r="R2" s="50" t="s">
        <v>431</v>
      </c>
      <c r="S2" s="49">
        <v>0.0232</v>
      </c>
      <c r="T2" s="47">
        <v>1082.9</v>
      </c>
    </row>
    <row r="3" ht="15.75" spans="2:20">
      <c r="B3" s="47">
        <v>3</v>
      </c>
      <c r="C3" s="48" t="s">
        <v>417</v>
      </c>
      <c r="D3" s="49">
        <v>0.0363</v>
      </c>
      <c r="E3" s="47">
        <v>79253.13</v>
      </c>
      <c r="G3" s="47">
        <v>3</v>
      </c>
      <c r="H3" s="50" t="s">
        <v>417</v>
      </c>
      <c r="I3" s="49">
        <v>0.0581</v>
      </c>
      <c r="J3" s="47">
        <v>268106.9</v>
      </c>
      <c r="L3" s="47">
        <v>3</v>
      </c>
      <c r="M3" s="48" t="s">
        <v>431</v>
      </c>
      <c r="N3" s="49">
        <v>0.0255</v>
      </c>
      <c r="O3" s="47">
        <v>97473.44</v>
      </c>
      <c r="Q3" s="47">
        <v>3</v>
      </c>
      <c r="R3" s="50" t="s">
        <v>425</v>
      </c>
      <c r="S3" s="49">
        <v>0.0222</v>
      </c>
      <c r="T3" s="47">
        <v>1035.61</v>
      </c>
    </row>
    <row r="4" ht="15.75" spans="2:20">
      <c r="B4" s="47">
        <v>4</v>
      </c>
      <c r="C4" s="48" t="s">
        <v>428</v>
      </c>
      <c r="D4" s="49">
        <v>0.0326</v>
      </c>
      <c r="E4" s="47">
        <v>71220.95</v>
      </c>
      <c r="G4" s="47">
        <v>4</v>
      </c>
      <c r="H4" s="50" t="s">
        <v>428</v>
      </c>
      <c r="I4" s="49">
        <v>0.0522</v>
      </c>
      <c r="J4" s="47">
        <v>240894.79</v>
      </c>
      <c r="L4" s="47">
        <v>4</v>
      </c>
      <c r="M4" s="50" t="s">
        <v>417</v>
      </c>
      <c r="N4" s="49">
        <v>0.0219</v>
      </c>
      <c r="O4" s="47">
        <v>83677.4</v>
      </c>
      <c r="Q4" s="47">
        <v>4</v>
      </c>
      <c r="R4" s="50" t="s">
        <v>417</v>
      </c>
      <c r="S4" s="49">
        <v>0.02</v>
      </c>
      <c r="T4" s="47">
        <v>936.31</v>
      </c>
    </row>
    <row r="5" ht="15.75" spans="2:20">
      <c r="B5" s="47">
        <v>5</v>
      </c>
      <c r="C5" s="48" t="s">
        <v>415</v>
      </c>
      <c r="D5" s="49">
        <v>0.025</v>
      </c>
      <c r="E5" s="47">
        <v>54608.71</v>
      </c>
      <c r="G5" s="47">
        <v>5</v>
      </c>
      <c r="H5" s="50" t="s">
        <v>415</v>
      </c>
      <c r="I5" s="49">
        <v>0.04</v>
      </c>
      <c r="J5" s="47">
        <v>184697.14</v>
      </c>
      <c r="L5" s="47">
        <v>5</v>
      </c>
      <c r="M5" s="48" t="s">
        <v>426</v>
      </c>
      <c r="N5" s="49">
        <v>0.0212</v>
      </c>
      <c r="O5" s="47">
        <v>80929.33</v>
      </c>
      <c r="Q5" s="47">
        <v>5</v>
      </c>
      <c r="R5" s="48" t="s">
        <v>433</v>
      </c>
      <c r="S5" s="49">
        <v>0.0132</v>
      </c>
      <c r="T5" s="47">
        <v>615.05</v>
      </c>
    </row>
    <row r="6" ht="15.75" spans="2:20">
      <c r="B6" s="47">
        <v>6</v>
      </c>
      <c r="C6" s="48" t="s">
        <v>416</v>
      </c>
      <c r="D6" s="49">
        <v>0.0229</v>
      </c>
      <c r="E6" s="47">
        <v>49850.59</v>
      </c>
      <c r="G6" s="47">
        <v>6</v>
      </c>
      <c r="H6" s="50" t="s">
        <v>416</v>
      </c>
      <c r="I6" s="49">
        <v>0.0365</v>
      </c>
      <c r="J6" s="47">
        <v>168621.5</v>
      </c>
      <c r="L6" s="47">
        <v>6</v>
      </c>
      <c r="M6" s="50" t="s">
        <v>428</v>
      </c>
      <c r="N6" s="49">
        <v>0.0199</v>
      </c>
      <c r="O6" s="47">
        <v>75912.42</v>
      </c>
      <c r="Q6" s="47">
        <v>6</v>
      </c>
      <c r="R6" s="50" t="s">
        <v>428</v>
      </c>
      <c r="S6" s="49">
        <v>0.0127</v>
      </c>
      <c r="T6" s="47">
        <v>594.64</v>
      </c>
    </row>
    <row r="7" ht="15.75" spans="2:20">
      <c r="B7" s="47">
        <v>7</v>
      </c>
      <c r="C7" s="48" t="s">
        <v>430</v>
      </c>
      <c r="D7" s="49">
        <v>0.0213</v>
      </c>
      <c r="E7" s="47">
        <v>46452.69</v>
      </c>
      <c r="G7" s="47">
        <v>7</v>
      </c>
      <c r="H7" s="50" t="s">
        <v>430</v>
      </c>
      <c r="I7" s="49">
        <v>0.0341</v>
      </c>
      <c r="J7" s="47">
        <v>157267.81</v>
      </c>
      <c r="L7" s="47">
        <v>7</v>
      </c>
      <c r="M7" s="50" t="s">
        <v>415</v>
      </c>
      <c r="N7" s="49">
        <v>0.0152</v>
      </c>
      <c r="O7" s="47">
        <v>58157.11</v>
      </c>
      <c r="Q7" s="47">
        <v>7</v>
      </c>
      <c r="R7" s="48" t="s">
        <v>429</v>
      </c>
      <c r="S7" s="49">
        <v>0.0118</v>
      </c>
      <c r="T7" s="47">
        <v>550.23</v>
      </c>
    </row>
    <row r="8" ht="15.75" spans="2:20">
      <c r="B8" s="47">
        <v>8</v>
      </c>
      <c r="C8" s="48" t="s">
        <v>411</v>
      </c>
      <c r="D8" s="49">
        <v>0.0197</v>
      </c>
      <c r="E8" s="47">
        <v>42929.24</v>
      </c>
      <c r="G8" s="47">
        <v>8</v>
      </c>
      <c r="H8" s="50" t="s">
        <v>411</v>
      </c>
      <c r="I8" s="49">
        <v>0.0314</v>
      </c>
      <c r="J8" s="47">
        <v>145176.33</v>
      </c>
      <c r="L8" s="47">
        <v>8</v>
      </c>
      <c r="M8" s="48" t="s">
        <v>422</v>
      </c>
      <c r="N8" s="49">
        <v>0.0152</v>
      </c>
      <c r="O8" s="47">
        <v>57867.81</v>
      </c>
      <c r="Q8" s="47">
        <v>8</v>
      </c>
      <c r="R8" s="50" t="s">
        <v>430</v>
      </c>
      <c r="S8" s="49">
        <v>0.0116</v>
      </c>
      <c r="T8" s="47">
        <v>540.81</v>
      </c>
    </row>
    <row r="9" ht="15.75" spans="2:20">
      <c r="B9" s="47">
        <v>9</v>
      </c>
      <c r="C9" s="48" t="s">
        <v>424</v>
      </c>
      <c r="D9" s="49">
        <v>0.0194</v>
      </c>
      <c r="E9" s="47">
        <v>42294.42</v>
      </c>
      <c r="G9" s="47">
        <v>9</v>
      </c>
      <c r="H9" s="50" t="s">
        <v>424</v>
      </c>
      <c r="I9" s="49">
        <v>0.031</v>
      </c>
      <c r="J9" s="47">
        <v>142977.06</v>
      </c>
      <c r="L9" s="47">
        <v>9</v>
      </c>
      <c r="M9" s="48" t="s">
        <v>420</v>
      </c>
      <c r="N9" s="49">
        <v>0.0143</v>
      </c>
      <c r="O9" s="47">
        <v>54432.52</v>
      </c>
      <c r="Q9" s="47">
        <v>9</v>
      </c>
      <c r="R9" s="48" t="s">
        <v>410</v>
      </c>
      <c r="S9" s="49">
        <v>0.0113</v>
      </c>
      <c r="T9" s="47">
        <v>527.07</v>
      </c>
    </row>
    <row r="10" ht="15.75" spans="2:20">
      <c r="B10" s="47">
        <v>10</v>
      </c>
      <c r="C10" s="48" t="s">
        <v>407</v>
      </c>
      <c r="D10" s="49">
        <v>0.0169</v>
      </c>
      <c r="E10" s="47">
        <v>36808</v>
      </c>
      <c r="G10" s="47">
        <v>10</v>
      </c>
      <c r="H10" s="50" t="s">
        <v>407</v>
      </c>
      <c r="I10" s="49">
        <v>0.027</v>
      </c>
      <c r="J10" s="47">
        <v>124495.8</v>
      </c>
      <c r="L10" s="47">
        <v>10</v>
      </c>
      <c r="M10" s="50" t="s">
        <v>416</v>
      </c>
      <c r="N10" s="49">
        <v>0.0139</v>
      </c>
      <c r="O10" s="47">
        <v>53089.81</v>
      </c>
      <c r="Q10" s="47">
        <v>10</v>
      </c>
      <c r="R10" s="50" t="s">
        <v>420</v>
      </c>
      <c r="S10" s="49">
        <v>0.0107</v>
      </c>
      <c r="T10" s="47">
        <v>498.09</v>
      </c>
    </row>
    <row r="11" ht="15.75" spans="1:10">
      <c r="A11" s="10">
        <v>159901</v>
      </c>
      <c r="B11" s="47">
        <v>1</v>
      </c>
      <c r="C11" s="50" t="s">
        <v>431</v>
      </c>
      <c r="D11" s="49">
        <v>0.0648</v>
      </c>
      <c r="E11" s="47">
        <v>53013.13</v>
      </c>
      <c r="F11" s="10">
        <v>512910</v>
      </c>
      <c r="G11" s="47">
        <v>1</v>
      </c>
      <c r="H11" s="50" t="s">
        <v>434</v>
      </c>
      <c r="I11" s="49">
        <v>0.0775</v>
      </c>
      <c r="J11" s="47">
        <v>4154.56</v>
      </c>
    </row>
    <row r="12" ht="15.75" spans="2:10">
      <c r="B12" s="47">
        <v>2</v>
      </c>
      <c r="C12" s="50" t="s">
        <v>426</v>
      </c>
      <c r="D12" s="49">
        <v>0.0588</v>
      </c>
      <c r="E12" s="47">
        <v>48124.98</v>
      </c>
      <c r="G12" s="47">
        <v>2</v>
      </c>
      <c r="H12" s="50" t="s">
        <v>425</v>
      </c>
      <c r="I12" s="49">
        <v>0.0766</v>
      </c>
      <c r="J12" s="47">
        <v>4103.5</v>
      </c>
    </row>
    <row r="13" ht="15.75" spans="2:10">
      <c r="B13" s="47">
        <v>3</v>
      </c>
      <c r="C13" s="50" t="s">
        <v>422</v>
      </c>
      <c r="D13" s="49">
        <v>0.0425</v>
      </c>
      <c r="E13" s="47">
        <v>34764.62</v>
      </c>
      <c r="G13" s="47">
        <v>3</v>
      </c>
      <c r="H13" s="50" t="s">
        <v>431</v>
      </c>
      <c r="I13" s="49">
        <v>0.0397</v>
      </c>
      <c r="J13" s="47">
        <v>2128.23</v>
      </c>
    </row>
    <row r="14" ht="15.75" spans="2:10">
      <c r="B14" s="47">
        <v>4</v>
      </c>
      <c r="C14" s="50" t="s">
        <v>420</v>
      </c>
      <c r="D14" s="49">
        <v>0.04</v>
      </c>
      <c r="E14" s="47">
        <v>32714.31</v>
      </c>
      <c r="G14" s="47">
        <v>4</v>
      </c>
      <c r="H14" s="50" t="s">
        <v>417</v>
      </c>
      <c r="I14" s="49">
        <v>0.0343</v>
      </c>
      <c r="J14" s="47">
        <v>1837.47</v>
      </c>
    </row>
    <row r="15" ht="15.75" spans="2:10">
      <c r="B15" s="47">
        <v>5</v>
      </c>
      <c r="C15" s="48" t="s">
        <v>435</v>
      </c>
      <c r="D15" s="49">
        <v>0.0319</v>
      </c>
      <c r="E15" s="47">
        <v>26075.24</v>
      </c>
      <c r="G15" s="47">
        <v>5</v>
      </c>
      <c r="H15" s="50" t="s">
        <v>426</v>
      </c>
      <c r="I15" s="49">
        <v>0.033</v>
      </c>
      <c r="J15" s="47">
        <v>1766.57</v>
      </c>
    </row>
    <row r="16" ht="15.75" spans="2:10">
      <c r="B16" s="47">
        <v>6</v>
      </c>
      <c r="C16" s="50" t="s">
        <v>433</v>
      </c>
      <c r="D16" s="49">
        <v>0.0283</v>
      </c>
      <c r="E16" s="47">
        <v>23145.97</v>
      </c>
      <c r="G16" s="47">
        <v>6</v>
      </c>
      <c r="H16" s="50" t="s">
        <v>428</v>
      </c>
      <c r="I16" s="49">
        <v>0.0307</v>
      </c>
      <c r="J16" s="47">
        <v>1644.6</v>
      </c>
    </row>
    <row r="17" ht="15.75" spans="2:10">
      <c r="B17" s="47">
        <v>7</v>
      </c>
      <c r="C17" s="48" t="s">
        <v>412</v>
      </c>
      <c r="D17" s="49">
        <v>0.0262</v>
      </c>
      <c r="E17" s="47">
        <v>21474.88</v>
      </c>
      <c r="G17" s="47">
        <v>7</v>
      </c>
      <c r="H17" s="50" t="s">
        <v>422</v>
      </c>
      <c r="I17" s="49">
        <v>0.0238</v>
      </c>
      <c r="J17" s="47">
        <v>1273.87</v>
      </c>
    </row>
    <row r="18" ht="15.75" spans="2:10">
      <c r="B18" s="47">
        <v>8</v>
      </c>
      <c r="C18" s="48" t="s">
        <v>436</v>
      </c>
      <c r="D18" s="49">
        <v>0.0235</v>
      </c>
      <c r="E18" s="47">
        <v>19200.87</v>
      </c>
      <c r="G18" s="47">
        <v>8</v>
      </c>
      <c r="H18" s="50" t="s">
        <v>415</v>
      </c>
      <c r="I18" s="49">
        <v>0.0236</v>
      </c>
      <c r="J18" s="47">
        <v>1265.42</v>
      </c>
    </row>
    <row r="19" ht="15.75" spans="2:10">
      <c r="B19" s="47">
        <v>9</v>
      </c>
      <c r="C19" s="48" t="s">
        <v>418</v>
      </c>
      <c r="D19" s="49">
        <v>0.022</v>
      </c>
      <c r="E19" s="47">
        <v>17993.31</v>
      </c>
      <c r="G19" s="47">
        <v>9</v>
      </c>
      <c r="H19" s="50" t="s">
        <v>420</v>
      </c>
      <c r="I19" s="49">
        <v>0.0222</v>
      </c>
      <c r="J19" s="47">
        <v>1188.8</v>
      </c>
    </row>
    <row r="20" ht="15.75" spans="2:10">
      <c r="B20" s="47">
        <v>10</v>
      </c>
      <c r="C20" s="48" t="s">
        <v>437</v>
      </c>
      <c r="D20" s="49">
        <v>0.0218</v>
      </c>
      <c r="E20" s="47">
        <v>17845.78</v>
      </c>
      <c r="G20" s="47">
        <v>10</v>
      </c>
      <c r="H20" s="50" t="s">
        <v>416</v>
      </c>
      <c r="I20" s="49">
        <v>0.0216</v>
      </c>
      <c r="J20" s="47">
        <v>1160.01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2"/>
  <sheetViews>
    <sheetView workbookViewId="0">
      <selection activeCell="D7" sqref="D7"/>
    </sheetView>
  </sheetViews>
  <sheetFormatPr defaultColWidth="9" defaultRowHeight="13.5" outlineLevelCol="1"/>
  <cols>
    <col min="1" max="16384" width="9" style="43"/>
  </cols>
  <sheetData>
    <row r="1" spans="1:2">
      <c r="A1" s="44" t="s">
        <v>1</v>
      </c>
      <c r="B1" s="44" t="s">
        <v>76</v>
      </c>
    </row>
    <row r="2" spans="1:2">
      <c r="A2" s="45">
        <v>159929</v>
      </c>
      <c r="B2" s="46">
        <v>2.336</v>
      </c>
    </row>
    <row r="3" spans="1:2">
      <c r="A3" s="45">
        <v>159930</v>
      </c>
      <c r="B3" s="46">
        <v>0.645</v>
      </c>
    </row>
    <row r="4" spans="1:2">
      <c r="A4" s="45">
        <v>159931</v>
      </c>
      <c r="B4" s="46">
        <v>1.781</v>
      </c>
    </row>
    <row r="5" spans="1:2">
      <c r="A5" s="45">
        <v>159932</v>
      </c>
      <c r="B5" s="46">
        <v>1.771</v>
      </c>
    </row>
    <row r="6" spans="1:2">
      <c r="A6" s="45">
        <v>159936</v>
      </c>
      <c r="B6" s="46">
        <v>1.929</v>
      </c>
    </row>
    <row r="7" spans="1:2">
      <c r="A7" s="45">
        <v>159912</v>
      </c>
      <c r="B7" s="46">
        <v>1.891</v>
      </c>
    </row>
    <row r="8" spans="1:2">
      <c r="A8" s="45">
        <v>159913</v>
      </c>
      <c r="B8" s="46">
        <v>2.467</v>
      </c>
    </row>
    <row r="9" spans="1:2">
      <c r="A9" s="45">
        <v>159916</v>
      </c>
      <c r="B9" s="46">
        <v>5.501</v>
      </c>
    </row>
    <row r="10" spans="1:2">
      <c r="A10" s="45">
        <v>159918</v>
      </c>
      <c r="B10" s="46">
        <v>1.924</v>
      </c>
    </row>
    <row r="11" spans="1:2">
      <c r="A11" s="45">
        <v>159923</v>
      </c>
      <c r="B11" s="46">
        <v>2.2</v>
      </c>
    </row>
    <row r="12" spans="1:2">
      <c r="A12" s="45">
        <v>159925</v>
      </c>
      <c r="B12" s="46">
        <v>2.324</v>
      </c>
    </row>
    <row r="13" spans="1:2">
      <c r="A13" s="45">
        <v>159926</v>
      </c>
      <c r="B13" s="46">
        <v>112.801</v>
      </c>
    </row>
    <row r="14" spans="1:2">
      <c r="A14" s="45">
        <v>159935</v>
      </c>
      <c r="B14" s="46">
        <v>1.91</v>
      </c>
    </row>
    <row r="15" spans="1:2">
      <c r="A15" s="45">
        <v>159934</v>
      </c>
      <c r="B15" s="46">
        <v>3.791</v>
      </c>
    </row>
    <row r="16" spans="1:2">
      <c r="A16" s="45">
        <v>510010</v>
      </c>
      <c r="B16" s="46">
        <v>1.458</v>
      </c>
    </row>
    <row r="17" spans="1:2">
      <c r="A17" s="45">
        <v>510020</v>
      </c>
      <c r="B17" s="46">
        <v>3.618</v>
      </c>
    </row>
    <row r="18" spans="1:2">
      <c r="A18" s="45">
        <v>510030</v>
      </c>
      <c r="B18" s="46">
        <v>6.134</v>
      </c>
    </row>
    <row r="19" spans="1:2">
      <c r="A19" s="45">
        <v>510050</v>
      </c>
      <c r="B19" s="46">
        <v>3.464</v>
      </c>
    </row>
    <row r="20" spans="1:2">
      <c r="A20" s="45">
        <v>510060</v>
      </c>
      <c r="B20" s="46">
        <v>1.991</v>
      </c>
    </row>
    <row r="21" spans="1:2">
      <c r="A21" s="45">
        <v>510090</v>
      </c>
      <c r="B21" s="46">
        <v>2.363</v>
      </c>
    </row>
    <row r="22" spans="1:2">
      <c r="A22" s="45">
        <v>510110</v>
      </c>
      <c r="B22" s="46">
        <v>4.15</v>
      </c>
    </row>
    <row r="23" spans="1:2">
      <c r="A23" s="45">
        <v>510120</v>
      </c>
      <c r="B23" s="46">
        <v>4.235</v>
      </c>
    </row>
    <row r="24" spans="1:2">
      <c r="A24" s="45">
        <v>510130</v>
      </c>
      <c r="B24" s="46">
        <v>5.27</v>
      </c>
    </row>
    <row r="25" spans="1:2">
      <c r="A25" s="45">
        <v>510150</v>
      </c>
      <c r="B25" s="46">
        <v>9.421</v>
      </c>
    </row>
    <row r="26" spans="1:2">
      <c r="A26" s="45">
        <v>510160</v>
      </c>
      <c r="B26" s="46">
        <v>0.671</v>
      </c>
    </row>
    <row r="27" spans="1:2">
      <c r="A27" s="45">
        <v>510180</v>
      </c>
      <c r="B27" s="46">
        <v>4.071</v>
      </c>
    </row>
    <row r="28" spans="1:2">
      <c r="A28" s="45">
        <v>510190</v>
      </c>
      <c r="B28" s="46">
        <v>4.017</v>
      </c>
    </row>
    <row r="29" spans="1:2">
      <c r="A29" s="45">
        <v>510210</v>
      </c>
      <c r="B29" s="46">
        <v>4.661</v>
      </c>
    </row>
    <row r="30" spans="1:2">
      <c r="A30" s="45">
        <v>510220</v>
      </c>
      <c r="B30" s="46">
        <v>5.33</v>
      </c>
    </row>
    <row r="31" spans="1:2">
      <c r="A31" s="45">
        <v>510230</v>
      </c>
      <c r="B31" s="46">
        <v>1.128</v>
      </c>
    </row>
    <row r="32" spans="1:2">
      <c r="A32" s="45">
        <v>510270</v>
      </c>
      <c r="B32" s="46">
        <v>1.282</v>
      </c>
    </row>
    <row r="33" spans="1:2">
      <c r="A33" s="45">
        <v>510500</v>
      </c>
      <c r="B33" s="46">
        <v>6.939</v>
      </c>
    </row>
    <row r="34" spans="1:2">
      <c r="A34" s="45">
        <v>510880</v>
      </c>
      <c r="B34" s="46">
        <v>2.758</v>
      </c>
    </row>
    <row r="35" spans="1:2">
      <c r="A35" s="45">
        <v>159901</v>
      </c>
      <c r="B35" s="46">
        <v>7.42</v>
      </c>
    </row>
    <row r="36" spans="1:2">
      <c r="A36" s="45">
        <v>159902</v>
      </c>
      <c r="B36" s="46">
        <v>4.521</v>
      </c>
    </row>
    <row r="37" spans="1:2">
      <c r="A37" s="45">
        <v>159903</v>
      </c>
      <c r="B37" s="46">
        <v>1.563</v>
      </c>
    </row>
    <row r="38" spans="1:2">
      <c r="A38" s="45">
        <v>159905</v>
      </c>
      <c r="B38" s="46">
        <v>2.634</v>
      </c>
    </row>
    <row r="39" spans="1:2">
      <c r="A39" s="45">
        <v>159906</v>
      </c>
      <c r="B39" s="46">
        <v>1.512</v>
      </c>
    </row>
    <row r="40" spans="1:2">
      <c r="A40" s="45">
        <v>159907</v>
      </c>
      <c r="B40" s="46">
        <v>1.762</v>
      </c>
    </row>
    <row r="41" spans="1:2">
      <c r="A41" s="45">
        <v>159908</v>
      </c>
      <c r="B41" s="46">
        <v>2.46</v>
      </c>
    </row>
    <row r="42" spans="1:2">
      <c r="A42" s="45">
        <v>159909</v>
      </c>
      <c r="B42" s="46">
        <v>6.86</v>
      </c>
    </row>
    <row r="43" spans="1:2">
      <c r="A43" s="45">
        <v>159910</v>
      </c>
      <c r="B43" s="46">
        <v>2.432</v>
      </c>
    </row>
    <row r="44" spans="1:2">
      <c r="A44" s="45">
        <v>159922</v>
      </c>
      <c r="B44" s="46">
        <v>6.846</v>
      </c>
    </row>
    <row r="45" spans="1:2">
      <c r="A45" s="45">
        <v>510290</v>
      </c>
      <c r="B45" s="46">
        <v>1.846</v>
      </c>
    </row>
    <row r="46" spans="1:2">
      <c r="A46" s="45">
        <v>510300</v>
      </c>
      <c r="B46" s="46">
        <v>5.033</v>
      </c>
    </row>
    <row r="47" spans="1:2">
      <c r="A47" s="45">
        <v>510310</v>
      </c>
      <c r="B47" s="46">
        <v>2.254</v>
      </c>
    </row>
    <row r="48" spans="1:2">
      <c r="A48" s="45">
        <v>510330</v>
      </c>
      <c r="B48" s="46">
        <v>5.051</v>
      </c>
    </row>
    <row r="49" spans="1:2">
      <c r="A49" s="45">
        <v>510410</v>
      </c>
      <c r="B49" s="46">
        <v>0.719</v>
      </c>
    </row>
    <row r="50" spans="1:2">
      <c r="A50" s="45">
        <v>510510</v>
      </c>
      <c r="B50" s="46">
        <v>1.831</v>
      </c>
    </row>
    <row r="51" spans="1:2">
      <c r="A51" s="45">
        <v>159937</v>
      </c>
      <c r="B51" s="46">
        <v>3.827</v>
      </c>
    </row>
    <row r="52" spans="1:2">
      <c r="A52" s="45">
        <v>159939</v>
      </c>
      <c r="B52" s="46">
        <v>1.349</v>
      </c>
    </row>
    <row r="53" spans="1:2">
      <c r="A53" s="45">
        <v>512990</v>
      </c>
      <c r="B53" s="46">
        <v>1.692</v>
      </c>
    </row>
    <row r="54" spans="1:2">
      <c r="A54" s="45">
        <v>159940</v>
      </c>
      <c r="B54" s="46">
        <v>1.086</v>
      </c>
    </row>
    <row r="55" spans="1:2">
      <c r="A55" s="45">
        <v>510630</v>
      </c>
      <c r="B55" s="46">
        <v>5.554</v>
      </c>
    </row>
    <row r="56" spans="1:2">
      <c r="A56" s="45">
        <v>510650</v>
      </c>
      <c r="B56" s="46">
        <v>2.058</v>
      </c>
    </row>
    <row r="57" spans="1:2">
      <c r="A57" s="45">
        <v>510660</v>
      </c>
      <c r="B57" s="46">
        <v>3.163</v>
      </c>
    </row>
    <row r="58" spans="1:2">
      <c r="A58" s="45">
        <v>510680</v>
      </c>
      <c r="B58" s="46">
        <v>3.132</v>
      </c>
    </row>
    <row r="59" spans="1:2">
      <c r="A59" s="45">
        <v>511010</v>
      </c>
      <c r="B59" s="46">
        <v>121.028</v>
      </c>
    </row>
    <row r="60" spans="1:2">
      <c r="A60" s="45">
        <v>512010</v>
      </c>
      <c r="B60" s="46">
        <v>2.923</v>
      </c>
    </row>
    <row r="61" spans="1:2">
      <c r="A61" s="45">
        <v>512120</v>
      </c>
      <c r="B61" s="46">
        <v>2.323</v>
      </c>
    </row>
    <row r="62" spans="1:2">
      <c r="A62" s="45">
        <v>518800</v>
      </c>
      <c r="B62" s="46">
        <v>3.792</v>
      </c>
    </row>
    <row r="63" spans="1:2">
      <c r="A63" s="45">
        <v>159928</v>
      </c>
      <c r="B63" s="46">
        <v>4.997</v>
      </c>
    </row>
    <row r="64" spans="1:2">
      <c r="A64" s="45">
        <v>512640</v>
      </c>
      <c r="B64" s="46">
        <v>2.127</v>
      </c>
    </row>
    <row r="65" spans="1:2">
      <c r="A65" s="45">
        <v>512340</v>
      </c>
      <c r="B65" s="46">
        <v>0.946</v>
      </c>
    </row>
    <row r="66" spans="1:2">
      <c r="A66" s="45">
        <v>512600</v>
      </c>
      <c r="B66" s="46">
        <v>4.986</v>
      </c>
    </row>
    <row r="67" spans="1:2">
      <c r="A67" s="45">
        <v>512610</v>
      </c>
      <c r="B67" s="46">
        <v>2.169</v>
      </c>
    </row>
    <row r="68" spans="1:2">
      <c r="A68" s="45">
        <v>512220</v>
      </c>
      <c r="B68" s="46">
        <v>1.673</v>
      </c>
    </row>
    <row r="69" spans="1:2">
      <c r="A69" s="45">
        <v>159915</v>
      </c>
      <c r="B69" s="46">
        <v>2.718</v>
      </c>
    </row>
    <row r="70" spans="1:2">
      <c r="A70" s="45">
        <v>159933</v>
      </c>
      <c r="B70" s="46">
        <v>2.5</v>
      </c>
    </row>
    <row r="71" spans="1:2">
      <c r="A71" s="45">
        <v>512070</v>
      </c>
      <c r="B71" s="46">
        <v>2.492</v>
      </c>
    </row>
    <row r="72" spans="1:2">
      <c r="A72" s="45">
        <v>512310</v>
      </c>
      <c r="B72" s="46">
        <v>0.688</v>
      </c>
    </row>
    <row r="73" spans="1:2">
      <c r="A73" s="45">
        <v>511220</v>
      </c>
      <c r="B73" s="46">
        <v>95.25</v>
      </c>
    </row>
    <row r="74" spans="1:2">
      <c r="A74" s="45">
        <v>512300</v>
      </c>
      <c r="B74" s="46">
        <v>1.618</v>
      </c>
    </row>
    <row r="75" spans="1:2">
      <c r="A75" s="45">
        <v>510440</v>
      </c>
      <c r="B75" s="46">
        <v>1.903</v>
      </c>
    </row>
    <row r="76" spans="1:2">
      <c r="A76" s="45">
        <v>518880</v>
      </c>
      <c r="B76" s="46">
        <v>3.825</v>
      </c>
    </row>
    <row r="77" spans="1:2">
      <c r="A77" s="45">
        <v>159951</v>
      </c>
      <c r="B77" s="46">
        <v>0.964</v>
      </c>
    </row>
    <row r="78" spans="1:2">
      <c r="A78" s="45">
        <v>512780</v>
      </c>
      <c r="B78" s="46">
        <v>0.862</v>
      </c>
    </row>
    <row r="79" spans="1:2">
      <c r="A79" s="45">
        <v>512860</v>
      </c>
      <c r="B79" s="46">
        <v>1.626</v>
      </c>
    </row>
    <row r="80" spans="1:2">
      <c r="A80" s="45">
        <v>512820</v>
      </c>
      <c r="B80" s="46">
        <v>1.125</v>
      </c>
    </row>
    <row r="81" spans="1:2">
      <c r="A81" s="45">
        <v>510810</v>
      </c>
      <c r="B81" s="46">
        <v>0.919</v>
      </c>
    </row>
    <row r="82" spans="1:2">
      <c r="A82" s="45">
        <v>512100</v>
      </c>
      <c r="B82" s="46">
        <v>0.926</v>
      </c>
    </row>
    <row r="83" spans="1:2">
      <c r="A83" s="45">
        <v>159945</v>
      </c>
      <c r="B83" s="46">
        <v>0.596</v>
      </c>
    </row>
    <row r="84" spans="1:2">
      <c r="A84" s="45">
        <v>159961</v>
      </c>
      <c r="B84" s="46">
        <v>2.157</v>
      </c>
    </row>
    <row r="85" spans="1:2">
      <c r="A85" s="45">
        <v>512260</v>
      </c>
      <c r="B85" s="46">
        <v>1.361</v>
      </c>
    </row>
    <row r="86" spans="1:2">
      <c r="A86" s="45">
        <v>510550</v>
      </c>
      <c r="B86" s="46">
        <v>1.516</v>
      </c>
    </row>
    <row r="87" spans="1:2">
      <c r="A87" s="45">
        <v>512770</v>
      </c>
      <c r="B87" s="46">
        <v>1.999</v>
      </c>
    </row>
    <row r="88" spans="1:2">
      <c r="A88" s="45">
        <v>159960</v>
      </c>
      <c r="B88" s="46">
        <v>0.974</v>
      </c>
    </row>
    <row r="89" spans="1:2">
      <c r="A89" s="45">
        <v>512400</v>
      </c>
      <c r="B89" s="46">
        <v>0.953</v>
      </c>
    </row>
    <row r="90" spans="1:2">
      <c r="A90" s="45">
        <v>512040</v>
      </c>
      <c r="B90" s="46">
        <v>1.474</v>
      </c>
    </row>
    <row r="91" spans="1:2">
      <c r="A91" s="45">
        <v>512920</v>
      </c>
      <c r="B91" s="46">
        <v>1.755</v>
      </c>
    </row>
    <row r="92" spans="1:2">
      <c r="A92" s="45">
        <v>511020</v>
      </c>
      <c r="B92" s="46">
        <v>103.595</v>
      </c>
    </row>
    <row r="93" spans="1:2">
      <c r="A93" s="45">
        <v>512870</v>
      </c>
      <c r="B93" s="46">
        <v>1.728</v>
      </c>
    </row>
    <row r="94" spans="1:2">
      <c r="A94" s="45">
        <v>510360</v>
      </c>
      <c r="B94" s="46">
        <v>1.678</v>
      </c>
    </row>
    <row r="95" spans="1:2">
      <c r="A95" s="45">
        <v>510390</v>
      </c>
      <c r="B95" s="46">
        <v>5.09</v>
      </c>
    </row>
    <row r="96" spans="1:2">
      <c r="A96" s="45">
        <v>511310</v>
      </c>
      <c r="B96" s="46">
        <v>110.998</v>
      </c>
    </row>
    <row r="97" spans="1:2">
      <c r="A97" s="45">
        <v>512360</v>
      </c>
      <c r="B97" s="46">
        <v>1.631</v>
      </c>
    </row>
    <row r="98" spans="1:2">
      <c r="A98" s="45">
        <v>159948</v>
      </c>
      <c r="B98" s="46">
        <v>2.969</v>
      </c>
    </row>
    <row r="99" spans="1:2">
      <c r="A99" s="45">
        <v>512700</v>
      </c>
      <c r="B99" s="46">
        <v>1.158</v>
      </c>
    </row>
    <row r="100" spans="1:2">
      <c r="A100" s="45">
        <v>512960</v>
      </c>
      <c r="B100" s="46">
        <v>1.091</v>
      </c>
    </row>
    <row r="101" spans="1:2">
      <c r="A101" s="45">
        <v>512950</v>
      </c>
      <c r="B101" s="46">
        <v>1.094</v>
      </c>
    </row>
    <row r="102" spans="1:2">
      <c r="A102" s="45">
        <v>512890</v>
      </c>
      <c r="B102" s="46">
        <v>1.331</v>
      </c>
    </row>
    <row r="103" spans="1:2">
      <c r="A103" s="45">
        <v>159959</v>
      </c>
      <c r="B103" s="46">
        <v>1.148</v>
      </c>
    </row>
    <row r="104" spans="1:2">
      <c r="A104" s="45">
        <v>513680</v>
      </c>
      <c r="B104" s="46">
        <v>0.916</v>
      </c>
    </row>
    <row r="105" spans="1:2">
      <c r="A105" s="45">
        <v>512150</v>
      </c>
      <c r="B105" s="46">
        <v>1.746</v>
      </c>
    </row>
    <row r="106" spans="1:2">
      <c r="A106" s="45">
        <v>159955</v>
      </c>
      <c r="B106" s="46">
        <v>1.521</v>
      </c>
    </row>
    <row r="107" spans="1:2">
      <c r="A107" s="45">
        <v>511270</v>
      </c>
      <c r="B107" s="46">
        <v>104.55</v>
      </c>
    </row>
    <row r="108" spans="1:2">
      <c r="A108" s="45">
        <v>510560</v>
      </c>
      <c r="B108" s="46">
        <v>1.347</v>
      </c>
    </row>
    <row r="109" spans="1:2">
      <c r="A109" s="45">
        <v>159938</v>
      </c>
      <c r="B109" s="46">
        <v>2.087</v>
      </c>
    </row>
    <row r="110" spans="1:2">
      <c r="A110" s="45">
        <v>512590</v>
      </c>
      <c r="B110" s="46">
        <v>1.363</v>
      </c>
    </row>
    <row r="111" spans="1:2">
      <c r="A111" s="45">
        <v>511030</v>
      </c>
      <c r="B111" s="46">
        <v>101.87</v>
      </c>
    </row>
    <row r="112" spans="1:2">
      <c r="A112" s="45">
        <v>159963</v>
      </c>
      <c r="B112" s="46">
        <v>0.939</v>
      </c>
    </row>
    <row r="113" spans="1:2">
      <c r="A113" s="45">
        <v>512270</v>
      </c>
      <c r="B113" s="46">
        <v>1.085</v>
      </c>
    </row>
    <row r="114" spans="1:2">
      <c r="A114" s="45">
        <v>159919</v>
      </c>
      <c r="B114" s="46">
        <v>4.954</v>
      </c>
    </row>
    <row r="115" spans="1:2">
      <c r="A115" s="45">
        <v>512580</v>
      </c>
      <c r="B115" s="46">
        <v>1.17</v>
      </c>
    </row>
    <row r="116" spans="1:2">
      <c r="A116" s="45">
        <v>512800</v>
      </c>
      <c r="B116" s="46">
        <v>1.105</v>
      </c>
    </row>
    <row r="117" spans="1:2">
      <c r="A117" s="45">
        <v>159962</v>
      </c>
      <c r="B117" s="46">
        <v>1.46</v>
      </c>
    </row>
    <row r="118" spans="1:2">
      <c r="A118" s="45">
        <v>159964</v>
      </c>
      <c r="B118" s="46">
        <v>1.688</v>
      </c>
    </row>
    <row r="119" spans="1:2">
      <c r="A119" s="45">
        <v>512380</v>
      </c>
      <c r="B119" s="46">
        <v>1.403</v>
      </c>
    </row>
    <row r="120" spans="1:2">
      <c r="A120" s="45">
        <v>512690</v>
      </c>
      <c r="B120" s="46">
        <v>2.578</v>
      </c>
    </row>
    <row r="121" spans="1:2">
      <c r="A121" s="45">
        <v>512290</v>
      </c>
      <c r="B121" s="46">
        <v>1.948</v>
      </c>
    </row>
    <row r="122" spans="1:2">
      <c r="A122" s="45">
        <v>512480</v>
      </c>
      <c r="B122" s="46">
        <v>2.056</v>
      </c>
    </row>
    <row r="123" spans="1:2">
      <c r="A123" s="45">
        <v>512760</v>
      </c>
      <c r="B123" s="46">
        <v>1.158</v>
      </c>
    </row>
    <row r="124" spans="1:2">
      <c r="A124" s="45">
        <v>512170</v>
      </c>
      <c r="B124" s="46">
        <v>2.291</v>
      </c>
    </row>
    <row r="125" spans="1:2">
      <c r="A125" s="45">
        <v>512660</v>
      </c>
      <c r="B125" s="46">
        <v>1.124</v>
      </c>
    </row>
    <row r="126" spans="1:2">
      <c r="A126" s="45">
        <v>512880</v>
      </c>
      <c r="B126" s="46">
        <v>1.135</v>
      </c>
    </row>
    <row r="127" spans="1:2">
      <c r="A127" s="45">
        <v>512810</v>
      </c>
      <c r="B127" s="46">
        <v>1.132</v>
      </c>
    </row>
    <row r="128" spans="1:2">
      <c r="A128" s="45">
        <v>510710</v>
      </c>
      <c r="B128" s="46">
        <v>4.147</v>
      </c>
    </row>
    <row r="129" spans="1:2">
      <c r="A129" s="45">
        <v>512280</v>
      </c>
      <c r="B129" s="46">
        <v>1.503</v>
      </c>
    </row>
    <row r="130" spans="1:2">
      <c r="A130" s="45">
        <v>513900</v>
      </c>
      <c r="B130" s="46">
        <v>1.065</v>
      </c>
    </row>
    <row r="131" spans="1:2">
      <c r="A131" s="45">
        <v>159949</v>
      </c>
      <c r="B131" s="46">
        <v>1.175</v>
      </c>
    </row>
    <row r="132" spans="1:2">
      <c r="A132" s="45">
        <v>159956</v>
      </c>
      <c r="B132" s="46">
        <v>1.624</v>
      </c>
    </row>
    <row r="133" spans="1:2">
      <c r="A133" s="45">
        <v>512390</v>
      </c>
      <c r="B133" s="46">
        <v>1.42</v>
      </c>
    </row>
    <row r="134" spans="1:2">
      <c r="A134" s="45">
        <v>510600</v>
      </c>
      <c r="B134" s="46">
        <v>3.857</v>
      </c>
    </row>
    <row r="135" spans="1:2">
      <c r="A135" s="45">
        <v>510170</v>
      </c>
      <c r="B135" s="46">
        <v>2.431</v>
      </c>
    </row>
    <row r="136" spans="1:2">
      <c r="A136" s="45">
        <v>512000</v>
      </c>
      <c r="B136" s="46">
        <v>1.086</v>
      </c>
    </row>
    <row r="137" spans="1:2">
      <c r="A137" s="45">
        <v>512200</v>
      </c>
      <c r="B137" s="46">
        <v>0.861</v>
      </c>
    </row>
    <row r="138" spans="1:2">
      <c r="A138" s="45">
        <v>159944</v>
      </c>
      <c r="B138" s="46">
        <v>0.92</v>
      </c>
    </row>
    <row r="139" spans="1:2">
      <c r="A139" s="45">
        <v>511260</v>
      </c>
      <c r="B139" s="46">
        <v>109.766</v>
      </c>
    </row>
    <row r="140" spans="1:2">
      <c r="A140" s="45">
        <v>510580</v>
      </c>
      <c r="B140" s="46">
        <v>6.914</v>
      </c>
    </row>
    <row r="141" spans="1:2">
      <c r="A141" s="45">
        <v>512560</v>
      </c>
      <c r="B141" s="46">
        <v>1.275</v>
      </c>
    </row>
    <row r="142" spans="1:2">
      <c r="A142" s="45">
        <v>512500</v>
      </c>
      <c r="B142" s="46">
        <v>3.227</v>
      </c>
    </row>
    <row r="143" spans="1:2">
      <c r="A143" s="45">
        <v>512680</v>
      </c>
      <c r="B143" s="46">
        <v>1.145</v>
      </c>
    </row>
    <row r="144" spans="1:2">
      <c r="A144" s="45">
        <v>512900</v>
      </c>
      <c r="B144" s="46">
        <v>1.125</v>
      </c>
    </row>
    <row r="145" spans="1:2">
      <c r="A145" s="45">
        <v>512330</v>
      </c>
      <c r="B145" s="46">
        <v>1.031</v>
      </c>
    </row>
    <row r="146" spans="1:2">
      <c r="A146" s="45">
        <v>512550</v>
      </c>
      <c r="B146" s="46">
        <v>1.681</v>
      </c>
    </row>
    <row r="147" spans="1:2">
      <c r="A147" s="45">
        <v>512570</v>
      </c>
      <c r="B147" s="46">
        <v>1.12</v>
      </c>
    </row>
    <row r="148" spans="1:2">
      <c r="A148" s="45">
        <v>159957</v>
      </c>
      <c r="B148" s="46">
        <v>1.708</v>
      </c>
    </row>
    <row r="149" spans="1:2">
      <c r="A149" s="45">
        <v>510800</v>
      </c>
      <c r="B149" s="46">
        <v>1.398</v>
      </c>
    </row>
    <row r="150" spans="1:2">
      <c r="A150" s="45">
        <v>512160</v>
      </c>
      <c r="B150" s="46">
        <v>1.594</v>
      </c>
    </row>
    <row r="151" spans="1:2">
      <c r="A151" s="45">
        <v>510590</v>
      </c>
      <c r="B151" s="46">
        <v>6.687</v>
      </c>
    </row>
    <row r="152" spans="1:2">
      <c r="A152" s="45">
        <v>512520</v>
      </c>
      <c r="B152" s="46">
        <v>1.606</v>
      </c>
    </row>
    <row r="153" spans="1:2">
      <c r="A153" s="45">
        <v>511280</v>
      </c>
      <c r="B153" s="46">
        <v>108.9</v>
      </c>
    </row>
    <row r="154" spans="1:2">
      <c r="A154" s="45">
        <v>512090</v>
      </c>
      <c r="B154" s="46">
        <v>1.622</v>
      </c>
    </row>
    <row r="155" spans="1:2">
      <c r="A155" s="45">
        <v>159943</v>
      </c>
      <c r="B155" s="46">
        <v>15.45</v>
      </c>
    </row>
    <row r="156" spans="1:2">
      <c r="A156" s="45">
        <v>159958</v>
      </c>
      <c r="B156" s="46">
        <v>1.63</v>
      </c>
    </row>
    <row r="157" spans="1:2">
      <c r="A157" s="45">
        <v>512980</v>
      </c>
      <c r="B157" s="46">
        <v>0.862</v>
      </c>
    </row>
    <row r="158" spans="1:2">
      <c r="A158" s="45">
        <v>510380</v>
      </c>
      <c r="B158" s="46">
        <v>1.308</v>
      </c>
    </row>
    <row r="159" spans="1:2">
      <c r="A159" s="45">
        <v>159952</v>
      </c>
      <c r="B159" s="46">
        <v>1.637</v>
      </c>
    </row>
    <row r="160" spans="1:2">
      <c r="A160" s="45">
        <v>512510</v>
      </c>
      <c r="B160" s="46">
        <v>1.494</v>
      </c>
    </row>
    <row r="161" spans="1:2">
      <c r="A161" s="45">
        <v>159968</v>
      </c>
      <c r="B161" s="46">
        <v>6.635</v>
      </c>
    </row>
    <row r="162" spans="1:2">
      <c r="A162" s="45">
        <v>515060</v>
      </c>
      <c r="B162" s="46">
        <v>0.975</v>
      </c>
    </row>
    <row r="163" spans="1:2">
      <c r="A163" s="45">
        <v>159807</v>
      </c>
      <c r="B163" s="46">
        <v>1.526</v>
      </c>
    </row>
    <row r="164" spans="1:2">
      <c r="A164" s="45">
        <v>159998</v>
      </c>
      <c r="B164" s="46">
        <v>1.055</v>
      </c>
    </row>
    <row r="165" spans="1:2">
      <c r="A165" s="45">
        <v>510760</v>
      </c>
      <c r="B165" s="46">
        <v>0.978</v>
      </c>
    </row>
    <row r="166" spans="1:2">
      <c r="A166" s="45">
        <v>515100</v>
      </c>
      <c r="B166" s="46">
        <v>1.192</v>
      </c>
    </row>
    <row r="167" spans="1:2">
      <c r="A167" s="45">
        <v>515650</v>
      </c>
      <c r="B167" s="46">
        <v>1.618</v>
      </c>
    </row>
    <row r="168" spans="1:2">
      <c r="A168" s="45">
        <v>512970</v>
      </c>
      <c r="B168" s="46">
        <v>1.416</v>
      </c>
    </row>
    <row r="169" spans="1:2">
      <c r="A169" s="45">
        <v>515750</v>
      </c>
      <c r="B169" s="46">
        <v>1.44</v>
      </c>
    </row>
    <row r="170" spans="1:2">
      <c r="A170" s="45">
        <v>159983</v>
      </c>
      <c r="B170" s="46">
        <v>1.356</v>
      </c>
    </row>
    <row r="171" spans="1:2">
      <c r="A171" s="45">
        <v>159984</v>
      </c>
      <c r="B171" s="46">
        <v>1.306</v>
      </c>
    </row>
    <row r="172" spans="1:2">
      <c r="A172" s="45">
        <v>159976</v>
      </c>
      <c r="B172" s="46">
        <v>1.298</v>
      </c>
    </row>
    <row r="173" spans="1:2">
      <c r="A173" s="45">
        <v>159981</v>
      </c>
      <c r="B173" s="46">
        <v>1.01</v>
      </c>
    </row>
    <row r="174" spans="1:2">
      <c r="A174" s="45">
        <v>159966</v>
      </c>
      <c r="B174" s="46">
        <v>0.617</v>
      </c>
    </row>
    <row r="175" spans="1:2">
      <c r="A175" s="45">
        <v>159967</v>
      </c>
      <c r="B175" s="46">
        <v>0.607</v>
      </c>
    </row>
    <row r="176" spans="1:2">
      <c r="A176" s="45">
        <v>515580</v>
      </c>
      <c r="B176" s="46">
        <v>1.578</v>
      </c>
    </row>
    <row r="177" spans="1:2">
      <c r="A177" s="45">
        <v>159965</v>
      </c>
      <c r="B177" s="46">
        <v>1.46</v>
      </c>
    </row>
    <row r="178" spans="1:2">
      <c r="A178" s="45">
        <v>515150</v>
      </c>
      <c r="B178" s="46">
        <v>1.104</v>
      </c>
    </row>
    <row r="179" spans="1:2">
      <c r="A179" s="45">
        <v>159804</v>
      </c>
      <c r="B179" s="46">
        <v>1.147</v>
      </c>
    </row>
    <row r="180" spans="1:2">
      <c r="A180" s="45">
        <v>159990</v>
      </c>
      <c r="B180" s="46">
        <v>1.108</v>
      </c>
    </row>
    <row r="181" spans="1:2">
      <c r="A181" s="45">
        <v>515450</v>
      </c>
      <c r="B181" s="46">
        <v>1.072</v>
      </c>
    </row>
    <row r="182" spans="1:2">
      <c r="A182" s="45">
        <v>515500</v>
      </c>
      <c r="B182" s="46">
        <v>1.007</v>
      </c>
    </row>
    <row r="183" spans="1:2">
      <c r="A183" s="45">
        <v>515260</v>
      </c>
      <c r="B183" s="46">
        <v>0.963</v>
      </c>
    </row>
    <row r="184" spans="1:2">
      <c r="A184" s="45">
        <v>159821</v>
      </c>
      <c r="B184" s="46">
        <v>1.051</v>
      </c>
    </row>
    <row r="185" spans="1:2">
      <c r="A185" s="45">
        <v>515700</v>
      </c>
      <c r="B185" s="46">
        <v>1.942</v>
      </c>
    </row>
    <row r="186" spans="1:2">
      <c r="A186" s="45">
        <v>159820</v>
      </c>
      <c r="B186" s="46">
        <v>0.957</v>
      </c>
    </row>
    <row r="187" spans="1:2">
      <c r="A187" s="45">
        <v>512720</v>
      </c>
      <c r="B187" s="46">
        <v>1.364</v>
      </c>
    </row>
    <row r="188" spans="1:2">
      <c r="A188" s="45">
        <v>515000</v>
      </c>
      <c r="B188" s="46">
        <v>1.731</v>
      </c>
    </row>
    <row r="189" spans="1:2">
      <c r="A189" s="45">
        <v>510350</v>
      </c>
      <c r="B189" s="46">
        <v>4.989</v>
      </c>
    </row>
    <row r="190" spans="1:2">
      <c r="A190" s="45">
        <v>512730</v>
      </c>
      <c r="B190" s="46">
        <v>1.064</v>
      </c>
    </row>
    <row r="191" spans="1:2">
      <c r="A191" s="45">
        <v>515350</v>
      </c>
      <c r="B191" s="46">
        <v>5.419</v>
      </c>
    </row>
    <row r="192" spans="1:2">
      <c r="A192" s="45">
        <v>159997</v>
      </c>
      <c r="B192" s="46">
        <v>1.188</v>
      </c>
    </row>
    <row r="193" spans="1:2">
      <c r="A193" s="45">
        <v>159806</v>
      </c>
      <c r="B193" s="46">
        <v>1.973</v>
      </c>
    </row>
    <row r="194" spans="1:2">
      <c r="A194" s="45">
        <v>159979</v>
      </c>
      <c r="B194" s="46">
        <v>1.262</v>
      </c>
    </row>
    <row r="195" spans="1:2">
      <c r="A195" s="45">
        <v>515550</v>
      </c>
      <c r="B195" s="46">
        <v>1.28</v>
      </c>
    </row>
    <row r="196" spans="1:2">
      <c r="A196" s="45">
        <v>515310</v>
      </c>
      <c r="B196" s="46">
        <v>1.282</v>
      </c>
    </row>
    <row r="197" spans="1:2">
      <c r="A197" s="45">
        <v>159996</v>
      </c>
      <c r="B197" s="46">
        <v>1.333</v>
      </c>
    </row>
    <row r="198" spans="1:2">
      <c r="A198" s="45">
        <v>510100</v>
      </c>
      <c r="B198" s="46">
        <v>1.335</v>
      </c>
    </row>
    <row r="199" spans="1:2">
      <c r="A199" s="45">
        <v>159814</v>
      </c>
      <c r="B199" s="46">
        <v>1.118</v>
      </c>
    </row>
    <row r="200" spans="1:2">
      <c r="A200" s="45">
        <v>515830</v>
      </c>
      <c r="B200" s="46">
        <v>5.192</v>
      </c>
    </row>
    <row r="201" spans="1:2">
      <c r="A201" s="45">
        <v>515560</v>
      </c>
      <c r="B201" s="46">
        <v>1.006</v>
      </c>
    </row>
    <row r="202" spans="1:2">
      <c r="A202" s="45">
        <v>515950</v>
      </c>
      <c r="B202" s="46">
        <v>1.637</v>
      </c>
    </row>
    <row r="203" spans="1:2">
      <c r="A203" s="45">
        <v>515190</v>
      </c>
      <c r="B203" s="46">
        <v>1.238</v>
      </c>
    </row>
    <row r="204" spans="1:2">
      <c r="A204" s="45">
        <v>515810</v>
      </c>
      <c r="B204" s="46">
        <v>1.375</v>
      </c>
    </row>
    <row r="205" spans="1:2">
      <c r="A205" s="45">
        <v>159972</v>
      </c>
      <c r="B205" s="46">
        <v>103.615</v>
      </c>
    </row>
    <row r="206" spans="1:2">
      <c r="A206" s="45">
        <v>513090</v>
      </c>
      <c r="B206" s="46">
        <v>1.161</v>
      </c>
    </row>
    <row r="207" spans="1:2">
      <c r="A207" s="45">
        <v>515890</v>
      </c>
      <c r="B207" s="46">
        <v>1.204</v>
      </c>
    </row>
    <row r="208" spans="1:2">
      <c r="A208" s="45">
        <v>515210</v>
      </c>
      <c r="B208" s="46">
        <v>1.231</v>
      </c>
    </row>
    <row r="209" spans="1:2">
      <c r="A209" s="45">
        <v>515220</v>
      </c>
      <c r="B209" s="46">
        <v>1.251</v>
      </c>
    </row>
    <row r="210" spans="1:2">
      <c r="A210" s="45">
        <v>515160</v>
      </c>
      <c r="B210" s="46">
        <v>1.378</v>
      </c>
    </row>
    <row r="211" spans="1:2">
      <c r="A211" s="45">
        <v>515900</v>
      </c>
      <c r="B211" s="46">
        <v>1.012</v>
      </c>
    </row>
    <row r="212" spans="1:2">
      <c r="A212" s="45">
        <v>515600</v>
      </c>
      <c r="B212" s="46">
        <v>0.999</v>
      </c>
    </row>
    <row r="213" spans="1:2">
      <c r="A213" s="45">
        <v>515680</v>
      </c>
      <c r="B213" s="46">
        <v>1.018</v>
      </c>
    </row>
    <row r="214" spans="1:2">
      <c r="A214" s="45">
        <v>159974</v>
      </c>
      <c r="B214" s="46">
        <v>1.037</v>
      </c>
    </row>
    <row r="215" spans="1:2">
      <c r="A215" s="45">
        <v>159813</v>
      </c>
      <c r="B215" s="46">
        <v>1.085</v>
      </c>
    </row>
    <row r="216" spans="1:2">
      <c r="A216" s="45">
        <v>159810</v>
      </c>
      <c r="B216" s="46">
        <v>1.106</v>
      </c>
    </row>
    <row r="217" spans="1:2">
      <c r="A217" s="45">
        <v>515630</v>
      </c>
      <c r="B217" s="46">
        <v>1.252</v>
      </c>
    </row>
    <row r="218" spans="1:2">
      <c r="A218" s="45">
        <v>515080</v>
      </c>
      <c r="B218" s="46">
        <v>1.239</v>
      </c>
    </row>
    <row r="219" spans="1:2">
      <c r="A219" s="45">
        <v>515130</v>
      </c>
      <c r="B219" s="46">
        <v>1.394</v>
      </c>
    </row>
    <row r="220" spans="1:2">
      <c r="A220" s="45">
        <v>515760</v>
      </c>
      <c r="B220" s="46">
        <v>1.021</v>
      </c>
    </row>
    <row r="221" spans="1:2">
      <c r="A221" s="45">
        <v>510890</v>
      </c>
      <c r="B221" s="46">
        <v>1.079</v>
      </c>
    </row>
    <row r="222" spans="1:2">
      <c r="A222" s="45">
        <v>512670</v>
      </c>
      <c r="B222" s="46">
        <v>1.799</v>
      </c>
    </row>
    <row r="223" spans="1:2">
      <c r="A223" s="45">
        <v>515020</v>
      </c>
      <c r="B223" s="46">
        <v>1.09</v>
      </c>
    </row>
    <row r="224" spans="1:2">
      <c r="A224" s="45">
        <v>512750</v>
      </c>
      <c r="B224" s="46">
        <v>1.098</v>
      </c>
    </row>
    <row r="225" spans="1:2">
      <c r="A225" s="45">
        <v>515200</v>
      </c>
      <c r="B225" s="46">
        <v>1.799</v>
      </c>
    </row>
    <row r="226" spans="1:2">
      <c r="A226" s="45">
        <v>518680</v>
      </c>
      <c r="B226" s="46">
        <v>3.883</v>
      </c>
    </row>
    <row r="227" spans="1:2">
      <c r="A227" s="45">
        <v>512910</v>
      </c>
      <c r="B227" s="46">
        <v>1.428</v>
      </c>
    </row>
    <row r="228" spans="1:2">
      <c r="A228" s="45">
        <v>512350</v>
      </c>
      <c r="B228" s="46">
        <v>1.045</v>
      </c>
    </row>
    <row r="229" spans="1:2">
      <c r="A229" s="45">
        <v>515980</v>
      </c>
      <c r="B229" s="46">
        <v>1.075</v>
      </c>
    </row>
    <row r="230" spans="1:2">
      <c r="A230" s="45">
        <v>515330</v>
      </c>
      <c r="B230" s="46">
        <v>1.279</v>
      </c>
    </row>
    <row r="231" spans="1:2">
      <c r="A231" s="45">
        <v>510690</v>
      </c>
      <c r="B231" s="46">
        <v>1.109</v>
      </c>
    </row>
    <row r="232" spans="1:2">
      <c r="A232" s="45">
        <v>511380</v>
      </c>
      <c r="B232" s="46">
        <v>10.237</v>
      </c>
    </row>
    <row r="233" spans="1:2">
      <c r="A233" s="45">
        <v>515620</v>
      </c>
      <c r="B233" s="46">
        <v>1.256</v>
      </c>
    </row>
    <row r="234" spans="1:2">
      <c r="A234" s="45">
        <v>511000</v>
      </c>
      <c r="B234" s="46">
        <v>99.999</v>
      </c>
    </row>
    <row r="235" spans="1:2">
      <c r="A235" s="45">
        <v>515180</v>
      </c>
      <c r="B235" s="46">
        <v>1.111</v>
      </c>
    </row>
    <row r="236" spans="1:2">
      <c r="A236" s="45">
        <v>159975</v>
      </c>
      <c r="B236" s="46">
        <v>6.849</v>
      </c>
    </row>
    <row r="237" spans="1:2">
      <c r="A237" s="45">
        <v>159986</v>
      </c>
      <c r="B237" s="46">
        <v>1.452</v>
      </c>
    </row>
    <row r="238" spans="1:2">
      <c r="A238" s="45">
        <v>515590</v>
      </c>
      <c r="B238" s="46">
        <v>1.339</v>
      </c>
    </row>
    <row r="239" spans="1:2">
      <c r="A239" s="45">
        <v>515380</v>
      </c>
      <c r="B239" s="46">
        <v>5.063</v>
      </c>
    </row>
    <row r="240" spans="1:2">
      <c r="A240" s="45">
        <v>159992</v>
      </c>
      <c r="B240" s="46">
        <v>1.378</v>
      </c>
    </row>
    <row r="241" spans="1:2">
      <c r="A241" s="45">
        <v>159978</v>
      </c>
      <c r="B241" s="46">
        <v>1.254</v>
      </c>
    </row>
    <row r="242" spans="1:2">
      <c r="A242" s="45">
        <v>515280</v>
      </c>
      <c r="B242" s="46">
        <v>1.142</v>
      </c>
    </row>
    <row r="243" spans="1:2">
      <c r="A243" s="45">
        <v>510200</v>
      </c>
      <c r="B243" s="46">
        <v>1.203</v>
      </c>
    </row>
    <row r="244" spans="1:2">
      <c r="A244" s="45">
        <v>515930</v>
      </c>
      <c r="B244" s="46">
        <v>5.457</v>
      </c>
    </row>
    <row r="245" spans="1:2">
      <c r="A245" s="45">
        <v>515990</v>
      </c>
      <c r="B245" s="46">
        <v>1.15</v>
      </c>
    </row>
    <row r="246" spans="1:2">
      <c r="A246" s="45">
        <v>515110</v>
      </c>
      <c r="B246" s="46">
        <v>1.102</v>
      </c>
    </row>
    <row r="247" spans="1:2">
      <c r="A247" s="45">
        <v>159811</v>
      </c>
      <c r="B247" s="46">
        <v>1.116</v>
      </c>
    </row>
    <row r="248" spans="1:2">
      <c r="A248" s="45">
        <v>159809</v>
      </c>
      <c r="B248" s="46">
        <v>1.203</v>
      </c>
    </row>
    <row r="249" spans="1:2">
      <c r="A249" s="45">
        <v>512530</v>
      </c>
      <c r="B249" s="46">
        <v>1.146</v>
      </c>
    </row>
    <row r="250" spans="1:2">
      <c r="A250" s="45">
        <v>159985</v>
      </c>
      <c r="B250" s="46">
        <v>1.211</v>
      </c>
    </row>
    <row r="251" spans="1:2">
      <c r="A251" s="45">
        <v>515690</v>
      </c>
      <c r="B251" s="46">
        <v>1.227</v>
      </c>
    </row>
    <row r="252" spans="1:2">
      <c r="A252" s="45">
        <v>518850</v>
      </c>
      <c r="B252" s="46">
        <v>3.88</v>
      </c>
    </row>
    <row r="253" spans="1:2">
      <c r="A253" s="45">
        <v>518600</v>
      </c>
      <c r="B253" s="46">
        <v>3.881</v>
      </c>
    </row>
    <row r="254" spans="1:2">
      <c r="A254" s="45">
        <v>512320</v>
      </c>
      <c r="B254" s="46">
        <v>1.051</v>
      </c>
    </row>
    <row r="255" spans="1:2">
      <c r="A255" s="45">
        <v>511180</v>
      </c>
      <c r="B255" s="46">
        <v>9.963</v>
      </c>
    </row>
    <row r="256" spans="1:2">
      <c r="A256" s="45">
        <v>159816</v>
      </c>
      <c r="B256" s="46">
        <v>100.15</v>
      </c>
    </row>
    <row r="257" spans="1:2">
      <c r="A257" s="45">
        <v>159808</v>
      </c>
      <c r="B257" s="46">
        <v>1.052</v>
      </c>
    </row>
    <row r="258" spans="1:2">
      <c r="A258" s="45">
        <v>515850</v>
      </c>
      <c r="B258" s="46">
        <v>1.271</v>
      </c>
    </row>
    <row r="259" spans="1:2">
      <c r="A259" s="45">
        <v>515960</v>
      </c>
      <c r="B259" s="46">
        <v>1.369</v>
      </c>
    </row>
    <row r="260" spans="1:2">
      <c r="A260" s="45">
        <v>512180</v>
      </c>
      <c r="B260" s="46">
        <v>1.446</v>
      </c>
    </row>
    <row r="261" spans="1:2">
      <c r="A261" s="45">
        <v>159999</v>
      </c>
      <c r="B261" s="46">
        <v>1.009</v>
      </c>
    </row>
    <row r="262" spans="1:2">
      <c r="A262" s="45">
        <v>510570</v>
      </c>
      <c r="B262" s="46">
        <v>0.94</v>
      </c>
    </row>
    <row r="263" spans="1:2">
      <c r="A263" s="45">
        <v>515860</v>
      </c>
      <c r="B263" s="46">
        <v>1.411</v>
      </c>
    </row>
    <row r="264" spans="1:2">
      <c r="A264" s="45">
        <v>159815</v>
      </c>
      <c r="B264" s="46">
        <v>1.047</v>
      </c>
    </row>
    <row r="265" spans="1:2">
      <c r="A265" s="45">
        <v>513990</v>
      </c>
      <c r="B265" s="46">
        <v>1.003</v>
      </c>
    </row>
    <row r="266" spans="1:2">
      <c r="A266" s="45">
        <v>515610</v>
      </c>
      <c r="B266" s="46">
        <v>1.026</v>
      </c>
    </row>
    <row r="267" spans="1:2">
      <c r="A267" s="45">
        <v>515530</v>
      </c>
      <c r="B267" s="46">
        <v>3.164</v>
      </c>
    </row>
    <row r="268" spans="1:2">
      <c r="A268" s="45">
        <v>515870</v>
      </c>
      <c r="B268" s="46">
        <v>1.286</v>
      </c>
    </row>
    <row r="269" spans="1:2">
      <c r="A269" s="45">
        <v>512930</v>
      </c>
      <c r="B269" s="46">
        <v>1.459</v>
      </c>
    </row>
    <row r="270" spans="1:2">
      <c r="A270" s="45">
        <v>511050</v>
      </c>
      <c r="B270" s="46">
        <v>96.042</v>
      </c>
    </row>
    <row r="271" spans="1:2">
      <c r="A271" s="45">
        <v>515670</v>
      </c>
      <c r="B271" s="46">
        <v>1.297</v>
      </c>
    </row>
    <row r="272" spans="1:2">
      <c r="A272" s="45">
        <v>159995</v>
      </c>
      <c r="B272" s="46">
        <v>1.176</v>
      </c>
    </row>
    <row r="273" spans="1:2">
      <c r="A273" s="45">
        <v>159969</v>
      </c>
      <c r="B273" s="46">
        <v>1.607</v>
      </c>
    </row>
    <row r="274" spans="1:2">
      <c r="A274" s="45">
        <v>515880</v>
      </c>
      <c r="B274" s="46">
        <v>1.018</v>
      </c>
    </row>
    <row r="275" spans="1:2">
      <c r="A275" s="45">
        <v>515070</v>
      </c>
      <c r="B275" s="46">
        <v>1.178</v>
      </c>
    </row>
    <row r="276" spans="1:2">
      <c r="A276" s="45">
        <v>515660</v>
      </c>
      <c r="B276" s="46">
        <v>5.236</v>
      </c>
    </row>
    <row r="277" spans="1:2">
      <c r="A277" s="45">
        <v>159980</v>
      </c>
      <c r="B277" s="46">
        <v>1.167</v>
      </c>
    </row>
    <row r="278" spans="1:2">
      <c r="A278" s="45">
        <v>159971</v>
      </c>
      <c r="B278" s="46">
        <v>1.914</v>
      </c>
    </row>
    <row r="279" spans="1:2">
      <c r="A279" s="45">
        <v>515090</v>
      </c>
      <c r="B279" s="46">
        <v>1.287</v>
      </c>
    </row>
    <row r="280" spans="1:2">
      <c r="A280" s="45">
        <v>159982</v>
      </c>
      <c r="B280" s="46">
        <v>1.32</v>
      </c>
    </row>
    <row r="281" spans="1:2">
      <c r="A281" s="45">
        <v>515030</v>
      </c>
      <c r="B281" s="46">
        <v>1.554</v>
      </c>
    </row>
    <row r="282" spans="1:2">
      <c r="A282" s="45">
        <v>515570</v>
      </c>
      <c r="B282" s="46">
        <v>1.304</v>
      </c>
    </row>
    <row r="283" spans="1:2">
      <c r="A283" s="45">
        <v>518890</v>
      </c>
      <c r="B283" s="46">
        <v>3.917</v>
      </c>
    </row>
    <row r="284" spans="1:2">
      <c r="A284" s="45">
        <v>515790</v>
      </c>
      <c r="B284" s="46">
        <v>1.056</v>
      </c>
    </row>
    <row r="285" spans="1:2">
      <c r="A285" s="45">
        <v>159827</v>
      </c>
      <c r="B285" s="46">
        <v>0.999</v>
      </c>
    </row>
    <row r="286" spans="1:2">
      <c r="A286" s="45">
        <v>511060</v>
      </c>
      <c r="B286" s="46">
        <v>101.149</v>
      </c>
    </row>
    <row r="287" spans="1:2">
      <c r="A287" s="45">
        <v>159801</v>
      </c>
      <c r="B287" s="46">
        <v>1.162</v>
      </c>
    </row>
    <row r="288" spans="1:2">
      <c r="A288" s="45">
        <v>159993</v>
      </c>
      <c r="B288" s="46">
        <v>1.152</v>
      </c>
    </row>
    <row r="289" spans="1:2">
      <c r="A289" s="45">
        <v>511360</v>
      </c>
      <c r="B289" s="46">
        <v>100.971</v>
      </c>
    </row>
    <row r="290" spans="1:2">
      <c r="A290" s="45">
        <v>515300</v>
      </c>
      <c r="B290" s="46">
        <v>1.069</v>
      </c>
    </row>
    <row r="291" spans="1:2">
      <c r="A291" s="45">
        <v>159987</v>
      </c>
      <c r="B291" s="46">
        <v>1.57</v>
      </c>
    </row>
    <row r="292" spans="1:2">
      <c r="A292" s="45">
        <v>515520</v>
      </c>
      <c r="B292" s="46">
        <v>1.342</v>
      </c>
    </row>
    <row r="293" spans="1:2">
      <c r="A293" s="45">
        <v>159973</v>
      </c>
      <c r="B293" s="46">
        <v>1.77</v>
      </c>
    </row>
    <row r="294" spans="1:2">
      <c r="A294" s="45">
        <v>512710</v>
      </c>
      <c r="B294" s="46">
        <v>1.571</v>
      </c>
    </row>
    <row r="295" spans="1:2">
      <c r="A295" s="45">
        <v>515800</v>
      </c>
      <c r="B295" s="46">
        <v>1.254</v>
      </c>
    </row>
    <row r="296" spans="1:2">
      <c r="A296" s="45">
        <v>159991</v>
      </c>
      <c r="B296" s="46">
        <v>1.536</v>
      </c>
    </row>
    <row r="297" spans="1:2">
      <c r="A297" s="45">
        <v>515510</v>
      </c>
      <c r="B297" s="46">
        <v>1.304</v>
      </c>
    </row>
    <row r="298" spans="1:2">
      <c r="A298" s="45">
        <v>510370</v>
      </c>
      <c r="B298" s="46">
        <v>1.039</v>
      </c>
    </row>
    <row r="299" spans="1:2">
      <c r="A299" s="45">
        <v>512190</v>
      </c>
      <c r="B299" s="46">
        <v>1.494</v>
      </c>
    </row>
    <row r="300" spans="1:2">
      <c r="A300" s="45">
        <v>510530</v>
      </c>
      <c r="B300" s="46">
        <v>6.281</v>
      </c>
    </row>
    <row r="301" spans="1:2">
      <c r="A301" s="45">
        <v>159805</v>
      </c>
      <c r="B301" s="46">
        <v>1.075</v>
      </c>
    </row>
    <row r="302" spans="1:2">
      <c r="A302" s="45">
        <v>159819</v>
      </c>
      <c r="B302" s="46">
        <v>0.931</v>
      </c>
    </row>
    <row r="303" spans="1:2">
      <c r="A303" s="45">
        <v>518860</v>
      </c>
      <c r="B303" s="46">
        <v>3.975</v>
      </c>
    </row>
    <row r="304" spans="1:2">
      <c r="A304" s="45">
        <v>510850</v>
      </c>
      <c r="B304" s="46">
        <v>3.541</v>
      </c>
    </row>
    <row r="305" spans="1:2">
      <c r="A305" s="45">
        <v>588000</v>
      </c>
      <c r="B305" s="46">
        <v>1.403</v>
      </c>
    </row>
    <row r="306" spans="1:2">
      <c r="A306" s="45">
        <v>588080</v>
      </c>
      <c r="B306" s="46">
        <v>1.389</v>
      </c>
    </row>
    <row r="307" spans="1:2">
      <c r="A307" s="45">
        <v>588050</v>
      </c>
      <c r="B307" s="46">
        <v>1.39</v>
      </c>
    </row>
    <row r="308" spans="1:2">
      <c r="A308" s="45">
        <v>588090</v>
      </c>
      <c r="B308" s="46">
        <v>1.405</v>
      </c>
    </row>
    <row r="309" spans="1:2">
      <c r="A309" s="45">
        <v>512650</v>
      </c>
      <c r="B309" s="46">
        <v>1.213</v>
      </c>
    </row>
    <row r="310" spans="1:2">
      <c r="A310" s="45">
        <v>515390</v>
      </c>
      <c r="B310" s="46">
        <v>1.233</v>
      </c>
    </row>
    <row r="311" spans="1:2">
      <c r="A311" s="45">
        <v>159970</v>
      </c>
      <c r="B311" s="46">
        <v>6.35</v>
      </c>
    </row>
    <row r="312" spans="1:2">
      <c r="A312" s="45">
        <v>159977</v>
      </c>
      <c r="B312" s="46">
        <v>2.831</v>
      </c>
    </row>
    <row r="313" spans="1:2">
      <c r="A313" s="45">
        <v>515050</v>
      </c>
      <c r="B313" s="46">
        <v>1.162</v>
      </c>
    </row>
    <row r="314" spans="1:2">
      <c r="A314" s="45">
        <v>159994</v>
      </c>
      <c r="B314" s="46">
        <v>0.959</v>
      </c>
    </row>
    <row r="315" spans="1:2">
      <c r="A315" s="45">
        <v>159988</v>
      </c>
      <c r="B315" s="46">
        <v>0.998</v>
      </c>
    </row>
    <row r="316" spans="1:2">
      <c r="A316" s="45">
        <v>515780</v>
      </c>
      <c r="B316" s="46">
        <v>1.403</v>
      </c>
    </row>
    <row r="317" spans="1:2">
      <c r="A317" s="45">
        <v>515820</v>
      </c>
      <c r="B317" s="46">
        <v>1.251</v>
      </c>
    </row>
    <row r="318" spans="1:2">
      <c r="A318" s="45">
        <v>518660</v>
      </c>
      <c r="B318" s="46">
        <v>3.879</v>
      </c>
    </row>
    <row r="319" spans="1:2">
      <c r="A319" s="45">
        <v>159812</v>
      </c>
      <c r="B319" s="46">
        <v>3.873</v>
      </c>
    </row>
    <row r="320" spans="1:2">
      <c r="A320" s="45">
        <v>515770</v>
      </c>
      <c r="B320" s="46">
        <v>1.277</v>
      </c>
    </row>
    <row r="321" spans="1:2">
      <c r="A321" s="45">
        <v>515360</v>
      </c>
      <c r="B321" s="46">
        <v>5.511</v>
      </c>
    </row>
    <row r="322" spans="1:2">
      <c r="A322" s="45">
        <v>515010</v>
      </c>
      <c r="B322" s="46">
        <v>1.233</v>
      </c>
    </row>
  </sheetData>
  <pageMargins left="0.75" right="0.75" top="1" bottom="1" header="0.511805555555556" footer="0.511805555555556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0"/>
  <sheetViews>
    <sheetView workbookViewId="0">
      <selection activeCell="G5" sqref="G5"/>
    </sheetView>
  </sheetViews>
  <sheetFormatPr defaultColWidth="9" defaultRowHeight="13.5" outlineLevelCol="4"/>
  <sheetData>
    <row r="1" spans="1:5">
      <c r="A1" t="s">
        <v>1</v>
      </c>
      <c r="B1" t="s">
        <v>73</v>
      </c>
      <c r="C1" t="s">
        <v>75</v>
      </c>
      <c r="D1" t="s">
        <v>76</v>
      </c>
      <c r="E1" t="s">
        <v>399</v>
      </c>
    </row>
    <row r="2" ht="14.25" spans="1:5">
      <c r="A2" s="34">
        <v>512400</v>
      </c>
      <c r="B2" s="35">
        <v>1.0231</v>
      </c>
      <c r="C2" s="36">
        <v>0.0501</v>
      </c>
      <c r="D2" s="35">
        <v>1.027</v>
      </c>
      <c r="E2" s="37">
        <v>-0.0038</v>
      </c>
    </row>
    <row r="3" ht="14.25" spans="1:5">
      <c r="A3" s="38">
        <v>515790</v>
      </c>
      <c r="B3" s="39">
        <v>1.1581</v>
      </c>
      <c r="C3" s="40">
        <v>0.0447</v>
      </c>
      <c r="D3" s="39">
        <v>1.157</v>
      </c>
      <c r="E3" s="41">
        <v>0.0009</v>
      </c>
    </row>
    <row r="4" ht="14.25" spans="1:5">
      <c r="A4" s="38">
        <v>515700</v>
      </c>
      <c r="B4" s="39">
        <v>2.0382</v>
      </c>
      <c r="C4" s="40">
        <v>0.0397</v>
      </c>
      <c r="D4" s="39">
        <v>2.04</v>
      </c>
      <c r="E4" s="41">
        <v>-0.0009</v>
      </c>
    </row>
    <row r="5" ht="14.25" spans="1:5">
      <c r="A5" s="38">
        <v>159806</v>
      </c>
      <c r="B5" s="39">
        <v>2.0761</v>
      </c>
      <c r="C5" s="40">
        <v>0.0393</v>
      </c>
      <c r="D5" s="39">
        <v>2.073</v>
      </c>
      <c r="E5" s="41">
        <v>0.0015</v>
      </c>
    </row>
    <row r="6" ht="14.25" spans="1:5">
      <c r="A6" s="38">
        <v>515030</v>
      </c>
      <c r="B6" s="39">
        <v>1.6329</v>
      </c>
      <c r="C6" s="40">
        <v>0.0391</v>
      </c>
      <c r="D6" s="39">
        <v>1.632</v>
      </c>
      <c r="E6" s="41">
        <v>0.0006</v>
      </c>
    </row>
    <row r="7" ht="14.25" spans="1:5">
      <c r="A7" s="38">
        <v>510410</v>
      </c>
      <c r="B7" s="39">
        <v>0.7521</v>
      </c>
      <c r="C7" s="40">
        <v>0.0323</v>
      </c>
      <c r="D7" s="39">
        <v>0.753</v>
      </c>
      <c r="E7" s="41">
        <v>-0.0012</v>
      </c>
    </row>
    <row r="8" ht="14.25" spans="1:5">
      <c r="A8" s="38">
        <v>512580</v>
      </c>
      <c r="B8" s="39">
        <v>1.2331</v>
      </c>
      <c r="C8" s="40">
        <v>0.0321</v>
      </c>
      <c r="D8" s="39">
        <v>1.236</v>
      </c>
      <c r="E8" s="41">
        <v>-0.0024</v>
      </c>
    </row>
    <row r="9" ht="14.25" spans="1:5">
      <c r="A9" s="38">
        <v>510170</v>
      </c>
      <c r="B9" s="39">
        <v>2.516</v>
      </c>
      <c r="C9" s="40">
        <v>0.029</v>
      </c>
      <c r="D9" s="39">
        <v>2.514</v>
      </c>
      <c r="E9" s="41">
        <v>0.0008</v>
      </c>
    </row>
    <row r="10" ht="14.25" spans="1:5">
      <c r="A10" s="38">
        <v>515220</v>
      </c>
      <c r="B10" s="39">
        <v>1.3325</v>
      </c>
      <c r="C10" s="40">
        <v>0.0279</v>
      </c>
      <c r="D10" s="39">
        <v>1.334</v>
      </c>
      <c r="E10" s="41">
        <v>-0.0011</v>
      </c>
    </row>
    <row r="11" ht="14.25" spans="1:5">
      <c r="A11" s="38">
        <v>512340</v>
      </c>
      <c r="B11" s="39">
        <v>0.9642</v>
      </c>
      <c r="C11" s="40">
        <v>0.0278</v>
      </c>
      <c r="D11" s="39">
        <v>0.967</v>
      </c>
      <c r="E11" s="41">
        <v>-0.0029</v>
      </c>
    </row>
    <row r="12" ht="14.25" spans="1:5">
      <c r="A12" s="38">
        <v>159944</v>
      </c>
      <c r="B12" s="39">
        <v>0.9811</v>
      </c>
      <c r="C12" s="40">
        <v>0.0255</v>
      </c>
      <c r="D12" s="39">
        <v>0.983</v>
      </c>
      <c r="E12" s="41">
        <v>-0.0019</v>
      </c>
    </row>
    <row r="13" ht="14.25" spans="1:5">
      <c r="A13" s="38">
        <v>512010</v>
      </c>
      <c r="B13" s="39">
        <v>3.0056</v>
      </c>
      <c r="C13" s="40">
        <v>0.0249</v>
      </c>
      <c r="D13" s="39">
        <v>3.012</v>
      </c>
      <c r="E13" s="41">
        <v>-0.0021</v>
      </c>
    </row>
    <row r="14" ht="14.25" spans="1:5">
      <c r="A14" s="38">
        <v>510660</v>
      </c>
      <c r="B14" s="39">
        <v>3.2178</v>
      </c>
      <c r="C14" s="40">
        <v>0.0227</v>
      </c>
      <c r="D14" s="39">
        <v>3.218</v>
      </c>
      <c r="E14" s="41">
        <v>-0.0001</v>
      </c>
    </row>
    <row r="15" ht="14.25" spans="1:5">
      <c r="A15" s="38">
        <v>515950</v>
      </c>
      <c r="B15" s="39">
        <v>1.6745</v>
      </c>
      <c r="C15" s="40">
        <v>0.0227</v>
      </c>
      <c r="D15" s="39">
        <v>1.674</v>
      </c>
      <c r="E15" s="41">
        <v>0.0003</v>
      </c>
    </row>
    <row r="16" ht="14.25" spans="1:5">
      <c r="A16" s="38">
        <v>159815</v>
      </c>
      <c r="B16" s="39">
        <v>1.0698</v>
      </c>
      <c r="C16" s="40">
        <v>0.0213</v>
      </c>
      <c r="D16" s="39">
        <v>1.069</v>
      </c>
      <c r="E16" s="41">
        <v>0.0007</v>
      </c>
    </row>
    <row r="17" ht="14.25" spans="1:5">
      <c r="A17" s="38">
        <v>512120</v>
      </c>
      <c r="B17" s="39">
        <v>2.367</v>
      </c>
      <c r="C17" s="40">
        <v>0.0211</v>
      </c>
      <c r="D17" s="39">
        <v>2.368</v>
      </c>
      <c r="E17" s="41">
        <v>-0.0004</v>
      </c>
    </row>
    <row r="18" ht="14.25" spans="1:5">
      <c r="A18" s="38">
        <v>512310</v>
      </c>
      <c r="B18" s="39">
        <v>0.7118</v>
      </c>
      <c r="C18" s="40">
        <v>0.0208</v>
      </c>
      <c r="D18" s="39">
        <v>0.709</v>
      </c>
      <c r="E18" s="41">
        <v>0.0039</v>
      </c>
    </row>
    <row r="19" ht="14.25" spans="1:5">
      <c r="A19" s="38">
        <v>515210</v>
      </c>
      <c r="B19" s="39">
        <v>1.2487</v>
      </c>
      <c r="C19" s="40">
        <v>0.0196</v>
      </c>
      <c r="D19" s="39">
        <v>1.257</v>
      </c>
      <c r="E19" s="41">
        <v>-0.0066</v>
      </c>
    </row>
    <row r="20" ht="14.25" spans="1:5">
      <c r="A20" s="38">
        <v>512610</v>
      </c>
      <c r="B20" s="39">
        <v>2.1966</v>
      </c>
      <c r="C20" s="40">
        <v>0.019</v>
      </c>
      <c r="D20" s="39">
        <v>2.197</v>
      </c>
      <c r="E20" s="41">
        <v>-0.0002</v>
      </c>
    </row>
    <row r="21" ht="14.25" spans="1:5">
      <c r="A21" s="38">
        <v>159929</v>
      </c>
      <c r="B21" s="39">
        <v>2.3642</v>
      </c>
      <c r="C21" s="40">
        <v>0.0189</v>
      </c>
      <c r="D21" s="39">
        <v>2.367</v>
      </c>
      <c r="E21" s="41">
        <v>-0.0012</v>
      </c>
    </row>
    <row r="22" ht="14.25" spans="1:5">
      <c r="A22" s="38">
        <v>159930</v>
      </c>
      <c r="B22" s="39">
        <v>0.6534</v>
      </c>
      <c r="C22" s="40">
        <v>0.0186</v>
      </c>
      <c r="D22" s="39">
        <v>0.656</v>
      </c>
      <c r="E22" s="41">
        <v>-0.004</v>
      </c>
    </row>
    <row r="23" ht="14.25" spans="1:5">
      <c r="A23" s="38">
        <v>159992</v>
      </c>
      <c r="B23" s="39">
        <v>1.3941</v>
      </c>
      <c r="C23" s="40">
        <v>0.0186</v>
      </c>
      <c r="D23" s="39">
        <v>1.396</v>
      </c>
      <c r="E23" s="41">
        <v>-0.0014</v>
      </c>
    </row>
    <row r="24" ht="14.25" spans="1:5">
      <c r="A24" s="38">
        <v>159945</v>
      </c>
      <c r="B24" s="39">
        <v>0.6131</v>
      </c>
      <c r="C24" s="40">
        <v>0.0184</v>
      </c>
      <c r="D24" s="39">
        <v>0.612</v>
      </c>
      <c r="E24" s="41">
        <v>0.0018</v>
      </c>
    </row>
    <row r="25" ht="14.25" spans="1:5">
      <c r="A25" s="38">
        <v>512670</v>
      </c>
      <c r="B25" s="39">
        <v>1.9382</v>
      </c>
      <c r="C25" s="40">
        <v>0.0184</v>
      </c>
      <c r="D25" s="39">
        <v>1.941</v>
      </c>
      <c r="E25" s="41">
        <v>-0.0014</v>
      </c>
    </row>
    <row r="26" ht="14.25" spans="1:5">
      <c r="A26" s="38">
        <v>512770</v>
      </c>
      <c r="B26" s="39">
        <v>2.062</v>
      </c>
      <c r="C26" s="40">
        <v>0.018</v>
      </c>
      <c r="D26" s="39">
        <v>2.068</v>
      </c>
      <c r="E26" s="41">
        <v>-0.0029</v>
      </c>
    </row>
    <row r="27" ht="14.25" spans="1:5">
      <c r="A27" s="38">
        <v>512170</v>
      </c>
      <c r="B27" s="39">
        <v>2.3085</v>
      </c>
      <c r="C27" s="40">
        <v>0.0174</v>
      </c>
      <c r="D27" s="39">
        <v>2.311</v>
      </c>
      <c r="E27" s="41">
        <v>-0.0011</v>
      </c>
    </row>
    <row r="28" ht="14.25" spans="1:5">
      <c r="A28" s="38">
        <v>515150</v>
      </c>
      <c r="B28" s="39">
        <v>1.1295</v>
      </c>
      <c r="C28" s="40">
        <v>0.0169</v>
      </c>
      <c r="D28" s="39">
        <v>1.13</v>
      </c>
      <c r="E28" s="41">
        <v>-0.0004</v>
      </c>
    </row>
    <row r="29" ht="14.25" spans="1:5">
      <c r="A29" s="38">
        <v>159938</v>
      </c>
      <c r="B29" s="39">
        <v>2.0965</v>
      </c>
      <c r="C29" s="40">
        <v>0.0167</v>
      </c>
      <c r="D29" s="39">
        <v>2.096</v>
      </c>
      <c r="E29" s="41">
        <v>0.0002</v>
      </c>
    </row>
    <row r="30" ht="14.25" spans="1:5">
      <c r="A30" s="38">
        <v>515110</v>
      </c>
      <c r="B30" s="39">
        <v>1.127</v>
      </c>
      <c r="C30" s="40">
        <v>0.0164</v>
      </c>
      <c r="D30" s="39">
        <v>1.124</v>
      </c>
      <c r="E30" s="41">
        <v>0.0027</v>
      </c>
    </row>
    <row r="31" ht="14.25" spans="1:5">
      <c r="A31" s="38">
        <v>515990</v>
      </c>
      <c r="B31" s="39">
        <v>1.1652</v>
      </c>
      <c r="C31" s="40">
        <v>0.016</v>
      </c>
      <c r="D31" s="39">
        <v>1.159</v>
      </c>
      <c r="E31" s="41">
        <v>0.0053</v>
      </c>
    </row>
    <row r="32" ht="14.25" spans="1:5">
      <c r="A32" s="38">
        <v>510150</v>
      </c>
      <c r="B32" s="39">
        <v>9.6425</v>
      </c>
      <c r="C32" s="40">
        <v>0.0159</v>
      </c>
      <c r="D32" s="39">
        <v>9.7</v>
      </c>
      <c r="E32" s="41">
        <v>-0.006</v>
      </c>
    </row>
    <row r="33" ht="14.25" spans="1:5">
      <c r="A33" s="38">
        <v>510130</v>
      </c>
      <c r="B33" s="39">
        <v>5.3971</v>
      </c>
      <c r="C33" s="40">
        <v>0.0156</v>
      </c>
      <c r="D33" s="39">
        <v>5.333</v>
      </c>
      <c r="E33" s="41">
        <v>0.0119</v>
      </c>
    </row>
    <row r="34" ht="14.25" spans="1:5">
      <c r="A34" s="38">
        <v>159990</v>
      </c>
      <c r="B34" s="39">
        <v>1.123</v>
      </c>
      <c r="C34" s="40">
        <v>0.0156</v>
      </c>
      <c r="D34" s="39">
        <v>1.123</v>
      </c>
      <c r="E34" s="41">
        <v>0</v>
      </c>
    </row>
    <row r="35" ht="14.25" spans="1:5">
      <c r="A35" s="38">
        <v>515200</v>
      </c>
      <c r="B35" s="39">
        <v>1.8373</v>
      </c>
      <c r="C35" s="40">
        <v>0.0156</v>
      </c>
      <c r="D35" s="39">
        <v>1.839</v>
      </c>
      <c r="E35" s="41">
        <v>-0.0009</v>
      </c>
    </row>
    <row r="36" ht="14.25" spans="1:5">
      <c r="A36" s="38">
        <v>512350</v>
      </c>
      <c r="B36" s="39">
        <v>1.0551</v>
      </c>
      <c r="C36" s="40">
        <v>0.0151</v>
      </c>
      <c r="D36" s="39">
        <v>1.047</v>
      </c>
      <c r="E36" s="41">
        <v>0.0077</v>
      </c>
    </row>
    <row r="37" ht="14.25" spans="1:5">
      <c r="A37" s="38">
        <v>159987</v>
      </c>
      <c r="B37" s="39">
        <v>1.6071</v>
      </c>
      <c r="C37" s="40">
        <v>0.0149</v>
      </c>
      <c r="D37" s="39">
        <v>1.608</v>
      </c>
      <c r="E37" s="41">
        <v>-0.0006</v>
      </c>
    </row>
    <row r="38" ht="14.25" spans="1:5">
      <c r="A38" s="38">
        <v>515960</v>
      </c>
      <c r="B38" s="39">
        <v>1.3682</v>
      </c>
      <c r="C38" s="40">
        <v>0.0148</v>
      </c>
      <c r="D38" s="39">
        <v>1.37</v>
      </c>
      <c r="E38" s="41">
        <v>-0.0013</v>
      </c>
    </row>
    <row r="39" ht="14.25" spans="1:5">
      <c r="A39" s="38">
        <v>512290</v>
      </c>
      <c r="B39" s="39">
        <v>1.9272</v>
      </c>
      <c r="C39" s="40">
        <v>0.0147</v>
      </c>
      <c r="D39" s="39">
        <v>1.93</v>
      </c>
      <c r="E39" s="41">
        <v>-0.0015</v>
      </c>
    </row>
    <row r="40" ht="14.25" spans="1:5">
      <c r="A40" s="38">
        <v>510220</v>
      </c>
      <c r="B40" s="39">
        <v>5.3492</v>
      </c>
      <c r="C40" s="40">
        <v>0.0146</v>
      </c>
      <c r="D40" s="39">
        <v>5.306</v>
      </c>
      <c r="E40" s="41">
        <v>0.0081</v>
      </c>
    </row>
    <row r="41" ht="14.25" spans="1:5">
      <c r="A41" s="38">
        <v>512710</v>
      </c>
      <c r="B41" s="39">
        <v>1.6953</v>
      </c>
      <c r="C41" s="40">
        <v>0.0145</v>
      </c>
      <c r="D41" s="39">
        <v>1.694</v>
      </c>
      <c r="E41" s="41">
        <v>0.0008</v>
      </c>
    </row>
    <row r="42" ht="14.25" spans="1:5">
      <c r="A42" s="38">
        <v>512810</v>
      </c>
      <c r="B42" s="39">
        <v>1.2189</v>
      </c>
      <c r="C42" s="40">
        <v>0.0143</v>
      </c>
      <c r="D42" s="39">
        <v>1.218</v>
      </c>
      <c r="E42" s="41">
        <v>0.0007</v>
      </c>
    </row>
    <row r="43" ht="14.25" spans="1:5">
      <c r="A43" s="38">
        <v>159973</v>
      </c>
      <c r="B43" s="39">
        <v>1.8186</v>
      </c>
      <c r="C43" s="40">
        <v>0.0142</v>
      </c>
      <c r="D43" s="39">
        <v>1.791</v>
      </c>
      <c r="E43" s="41">
        <v>0.0152</v>
      </c>
    </row>
    <row r="44" ht="14.25" spans="1:5">
      <c r="A44" s="38">
        <v>510120</v>
      </c>
      <c r="B44" s="39">
        <v>4.336</v>
      </c>
      <c r="C44" s="40">
        <v>0.014</v>
      </c>
      <c r="D44" s="39">
        <v>4.296</v>
      </c>
      <c r="E44" s="41">
        <v>0.0092</v>
      </c>
    </row>
    <row r="45" ht="14.25" spans="1:5">
      <c r="A45" s="38">
        <v>512560</v>
      </c>
      <c r="B45" s="39">
        <v>1.3654</v>
      </c>
      <c r="C45" s="40">
        <v>0.014</v>
      </c>
      <c r="D45" s="39">
        <v>1.365</v>
      </c>
      <c r="E45" s="41">
        <v>0.0003</v>
      </c>
    </row>
    <row r="46" ht="14.25" spans="1:5">
      <c r="A46" s="38">
        <v>512680</v>
      </c>
      <c r="B46" s="39">
        <v>1.2355</v>
      </c>
      <c r="C46" s="40">
        <v>0.0139</v>
      </c>
      <c r="D46" s="39">
        <v>1.233</v>
      </c>
      <c r="E46" s="41">
        <v>0.002</v>
      </c>
    </row>
    <row r="47" ht="14.25" spans="1:5">
      <c r="A47" s="38">
        <v>159906</v>
      </c>
      <c r="B47" s="39">
        <v>1.54</v>
      </c>
      <c r="C47" s="40">
        <v>0.0138</v>
      </c>
      <c r="D47" s="39">
        <v>1.54</v>
      </c>
      <c r="E47" s="41">
        <v>0</v>
      </c>
    </row>
    <row r="48" ht="14.25" spans="1:5">
      <c r="A48" s="38">
        <v>512660</v>
      </c>
      <c r="B48" s="39">
        <v>1.2095</v>
      </c>
      <c r="C48" s="40">
        <v>0.0138</v>
      </c>
      <c r="D48" s="39">
        <v>1.211</v>
      </c>
      <c r="E48" s="41">
        <v>-0.0012</v>
      </c>
    </row>
    <row r="49" ht="14.25" spans="1:5">
      <c r="A49" s="38">
        <v>515580</v>
      </c>
      <c r="B49" s="39">
        <v>1.6175</v>
      </c>
      <c r="C49" s="40">
        <v>0.0137</v>
      </c>
      <c r="D49" s="39">
        <v>1.616</v>
      </c>
      <c r="E49" s="41">
        <v>0.0009</v>
      </c>
    </row>
    <row r="50" ht="14.25" spans="1:5">
      <c r="A50" s="38">
        <v>159807</v>
      </c>
      <c r="B50" s="39">
        <v>1.5652</v>
      </c>
      <c r="C50" s="40">
        <v>0.0135</v>
      </c>
      <c r="D50" s="39">
        <v>1.567</v>
      </c>
      <c r="E50" s="41">
        <v>-0.0012</v>
      </c>
    </row>
    <row r="51" ht="14.25" spans="1:5">
      <c r="A51" s="38">
        <v>515760</v>
      </c>
      <c r="B51" s="39">
        <v>1.0284</v>
      </c>
      <c r="C51" s="40">
        <v>0.0134</v>
      </c>
      <c r="D51" s="39">
        <v>1.029</v>
      </c>
      <c r="E51" s="41">
        <v>-0.0006</v>
      </c>
    </row>
    <row r="52" ht="14.25" spans="1:5">
      <c r="A52" s="38">
        <v>515510</v>
      </c>
      <c r="B52" s="39">
        <v>1.3111</v>
      </c>
      <c r="C52" s="40">
        <v>0.0132</v>
      </c>
      <c r="D52" s="39">
        <v>1.31</v>
      </c>
      <c r="E52" s="41">
        <v>0.0008</v>
      </c>
    </row>
    <row r="53" ht="14.25" spans="1:5">
      <c r="A53" s="38">
        <v>512870</v>
      </c>
      <c r="B53" s="39">
        <v>1.7575</v>
      </c>
      <c r="C53" s="40">
        <v>0.0131</v>
      </c>
      <c r="D53" s="39">
        <v>1.745</v>
      </c>
      <c r="E53" s="41">
        <v>0.0071</v>
      </c>
    </row>
    <row r="54" ht="14.25" spans="1:5">
      <c r="A54" s="38">
        <v>512190</v>
      </c>
      <c r="B54" s="39">
        <v>1.4477</v>
      </c>
      <c r="C54" s="40">
        <v>0.0129</v>
      </c>
      <c r="D54" s="39">
        <v>1.436</v>
      </c>
      <c r="E54" s="41">
        <v>0.0081</v>
      </c>
    </row>
    <row r="55" ht="14.25" spans="1:5">
      <c r="A55" s="38">
        <v>512780</v>
      </c>
      <c r="B55" s="39">
        <v>0.8615</v>
      </c>
      <c r="C55" s="40">
        <v>0.0128</v>
      </c>
      <c r="D55" s="39">
        <v>0.856</v>
      </c>
      <c r="E55" s="41">
        <v>0.0064</v>
      </c>
    </row>
    <row r="56" ht="14.25" spans="1:5">
      <c r="A56" s="38">
        <v>515870</v>
      </c>
      <c r="B56" s="39">
        <v>1.2957</v>
      </c>
      <c r="C56" s="40">
        <v>0.0122</v>
      </c>
      <c r="D56" s="39">
        <v>1.296</v>
      </c>
      <c r="E56" s="41">
        <v>-0.0002</v>
      </c>
    </row>
    <row r="57" ht="14.25" spans="1:5">
      <c r="A57" s="38">
        <v>510440</v>
      </c>
      <c r="B57" s="39">
        <v>1.928</v>
      </c>
      <c r="C57" s="40">
        <v>0.0121</v>
      </c>
      <c r="D57" s="39">
        <v>1.904</v>
      </c>
      <c r="E57" s="41">
        <v>0.0124</v>
      </c>
    </row>
    <row r="58" ht="14.25" spans="1:5">
      <c r="A58" s="38">
        <v>510560</v>
      </c>
      <c r="B58" s="39">
        <v>1.3565</v>
      </c>
      <c r="C58" s="40">
        <v>0.0119</v>
      </c>
      <c r="D58" s="39">
        <v>1.349</v>
      </c>
      <c r="E58" s="41">
        <v>0.0055</v>
      </c>
    </row>
    <row r="59" ht="14.25" spans="1:5">
      <c r="A59" s="38">
        <v>510580</v>
      </c>
      <c r="B59" s="39">
        <v>6.9417</v>
      </c>
      <c r="C59" s="40">
        <v>0.0119</v>
      </c>
      <c r="D59" s="39">
        <v>6.94</v>
      </c>
      <c r="E59" s="41">
        <v>0.0002</v>
      </c>
    </row>
    <row r="60" ht="14.25" spans="1:5">
      <c r="A60" s="38">
        <v>159968</v>
      </c>
      <c r="B60" s="39">
        <v>6.6683</v>
      </c>
      <c r="C60" s="40">
        <v>0.0119</v>
      </c>
      <c r="D60" s="39">
        <v>6.672</v>
      </c>
      <c r="E60" s="41">
        <v>-0.0006</v>
      </c>
    </row>
    <row r="61" ht="14.25" spans="1:5">
      <c r="A61" s="38">
        <v>159820</v>
      </c>
      <c r="B61" s="39">
        <v>0.9612</v>
      </c>
      <c r="C61" s="40">
        <v>0.0119</v>
      </c>
      <c r="D61" s="39">
        <v>0.961</v>
      </c>
      <c r="E61" s="41">
        <v>0.0002</v>
      </c>
    </row>
    <row r="62" ht="14.25" spans="1:5">
      <c r="A62" s="38">
        <v>159999</v>
      </c>
      <c r="B62" s="39">
        <v>1.0141</v>
      </c>
      <c r="C62" s="40">
        <v>0.0119</v>
      </c>
      <c r="D62" s="39">
        <v>1.011</v>
      </c>
      <c r="E62" s="41">
        <v>0.0031</v>
      </c>
    </row>
    <row r="63" ht="14.25" spans="1:5">
      <c r="A63" s="38">
        <v>510500</v>
      </c>
      <c r="B63" s="39">
        <v>6.957</v>
      </c>
      <c r="C63" s="40">
        <v>0.0118</v>
      </c>
      <c r="D63" s="39">
        <v>6.953</v>
      </c>
      <c r="E63" s="41">
        <v>0.0006</v>
      </c>
    </row>
    <row r="64" ht="14.25" spans="1:5">
      <c r="A64" s="38">
        <v>159922</v>
      </c>
      <c r="B64" s="39">
        <v>6.867</v>
      </c>
      <c r="C64" s="40">
        <v>0.0118</v>
      </c>
      <c r="D64" s="39">
        <v>6.864</v>
      </c>
      <c r="E64" s="41">
        <v>0.0004</v>
      </c>
    </row>
    <row r="65" ht="14.25" spans="1:5">
      <c r="A65" s="38">
        <v>510510</v>
      </c>
      <c r="B65" s="39">
        <v>1.8372</v>
      </c>
      <c r="C65" s="40">
        <v>0.0118</v>
      </c>
      <c r="D65" s="39">
        <v>1.835</v>
      </c>
      <c r="E65" s="41">
        <v>0.0012</v>
      </c>
    </row>
    <row r="66" ht="14.25" spans="1:5">
      <c r="A66" s="38">
        <v>512500</v>
      </c>
      <c r="B66" s="39">
        <v>3.2356</v>
      </c>
      <c r="C66" s="40">
        <v>0.0118</v>
      </c>
      <c r="D66" s="39">
        <v>3.234</v>
      </c>
      <c r="E66" s="41">
        <v>0.0005</v>
      </c>
    </row>
    <row r="67" ht="14.25" spans="1:5">
      <c r="A67" s="38">
        <v>510590</v>
      </c>
      <c r="B67" s="39">
        <v>6.7329</v>
      </c>
      <c r="C67" s="40">
        <v>0.0118</v>
      </c>
      <c r="D67" s="39">
        <v>6.73</v>
      </c>
      <c r="E67" s="41">
        <v>0.0004</v>
      </c>
    </row>
    <row r="68" ht="14.25" spans="1:5">
      <c r="A68" s="38">
        <v>512510</v>
      </c>
      <c r="B68" s="39">
        <v>1.502</v>
      </c>
      <c r="C68" s="40">
        <v>0.0118</v>
      </c>
      <c r="D68" s="39">
        <v>1.5</v>
      </c>
      <c r="E68" s="41">
        <v>0.0013</v>
      </c>
    </row>
    <row r="69" ht="14.25" spans="1:5">
      <c r="A69" s="38">
        <v>515190</v>
      </c>
      <c r="B69" s="39">
        <v>1.2418</v>
      </c>
      <c r="C69" s="40">
        <v>0.0118</v>
      </c>
      <c r="D69" s="39">
        <v>1.256</v>
      </c>
      <c r="E69" s="41">
        <v>-0.0114</v>
      </c>
    </row>
    <row r="70" ht="14.25" spans="1:5">
      <c r="A70" s="38">
        <v>159935</v>
      </c>
      <c r="B70" s="39">
        <v>1.8629</v>
      </c>
      <c r="C70" s="40">
        <v>0.0117</v>
      </c>
      <c r="D70" s="39">
        <v>1.91</v>
      </c>
      <c r="E70" s="41">
        <v>-0.0253</v>
      </c>
    </row>
    <row r="71" ht="14.25" spans="1:5">
      <c r="A71" s="38">
        <v>515850</v>
      </c>
      <c r="B71" s="39">
        <v>1.2893</v>
      </c>
      <c r="C71" s="40">
        <v>0.0117</v>
      </c>
      <c r="D71" s="39">
        <v>1.29</v>
      </c>
      <c r="E71" s="41">
        <v>-0.0005</v>
      </c>
    </row>
    <row r="72" ht="14.25" spans="1:5">
      <c r="A72" s="38">
        <v>510570</v>
      </c>
      <c r="B72" s="39">
        <v>0.9364</v>
      </c>
      <c r="C72" s="40">
        <v>0.0117</v>
      </c>
      <c r="D72" s="39">
        <v>0.931</v>
      </c>
      <c r="E72" s="41">
        <v>0.0058</v>
      </c>
    </row>
    <row r="73" ht="14.25" spans="1:5">
      <c r="A73" s="38">
        <v>515530</v>
      </c>
      <c r="B73" s="39">
        <v>3.1713</v>
      </c>
      <c r="C73" s="40">
        <v>0.0117</v>
      </c>
      <c r="D73" s="39">
        <v>3.176</v>
      </c>
      <c r="E73" s="41">
        <v>-0.0015</v>
      </c>
    </row>
    <row r="74" ht="14.25" spans="1:5">
      <c r="A74" s="38">
        <v>159982</v>
      </c>
      <c r="B74" s="39">
        <v>1.3262</v>
      </c>
      <c r="C74" s="40">
        <v>0.0117</v>
      </c>
      <c r="D74" s="39">
        <v>1.324</v>
      </c>
      <c r="E74" s="41">
        <v>0.0017</v>
      </c>
    </row>
    <row r="75" ht="14.25" spans="1:5">
      <c r="A75" s="38">
        <v>510530</v>
      </c>
      <c r="B75" s="39">
        <v>6.299</v>
      </c>
      <c r="C75" s="40">
        <v>0.0117</v>
      </c>
      <c r="D75" s="39">
        <v>6.305</v>
      </c>
      <c r="E75" s="41">
        <v>-0.001</v>
      </c>
    </row>
    <row r="76" ht="14.25" spans="1:5">
      <c r="A76" s="38">
        <v>512260</v>
      </c>
      <c r="B76" s="39">
        <v>1.3525</v>
      </c>
      <c r="C76" s="40">
        <v>0.0116</v>
      </c>
      <c r="D76" s="39">
        <v>1.349</v>
      </c>
      <c r="E76" s="41">
        <v>0.0026</v>
      </c>
    </row>
    <row r="77" ht="14.25" spans="1:5">
      <c r="A77" s="38">
        <v>515550</v>
      </c>
      <c r="B77" s="39">
        <v>1.271</v>
      </c>
      <c r="C77" s="40">
        <v>0.0116</v>
      </c>
      <c r="D77" s="39">
        <v>1.26</v>
      </c>
      <c r="E77" s="41">
        <v>0.0087</v>
      </c>
    </row>
    <row r="78" ht="14.25" spans="1:5">
      <c r="A78" s="38">
        <v>510630</v>
      </c>
      <c r="B78" s="39">
        <v>5.5795</v>
      </c>
      <c r="C78" s="40">
        <v>0.0115</v>
      </c>
      <c r="D78" s="39">
        <v>5.576</v>
      </c>
      <c r="E78" s="41">
        <v>0.0006</v>
      </c>
    </row>
    <row r="79" ht="14.25" spans="1:5">
      <c r="A79" s="38">
        <v>512960</v>
      </c>
      <c r="B79" s="39">
        <v>1.1247</v>
      </c>
      <c r="C79" s="40">
        <v>0.0115</v>
      </c>
      <c r="D79" s="39">
        <v>1.123</v>
      </c>
      <c r="E79" s="41">
        <v>0.0015</v>
      </c>
    </row>
    <row r="80" ht="14.25" spans="1:5">
      <c r="A80" s="38">
        <v>159959</v>
      </c>
      <c r="B80" s="39">
        <v>1.1821</v>
      </c>
      <c r="C80" s="40">
        <v>0.0115</v>
      </c>
      <c r="D80" s="39">
        <v>1.181</v>
      </c>
      <c r="E80" s="41">
        <v>0.0009</v>
      </c>
    </row>
    <row r="81" ht="14.25" spans="1:5">
      <c r="A81" s="38">
        <v>510550</v>
      </c>
      <c r="B81" s="39">
        <v>1.5313</v>
      </c>
      <c r="C81" s="40">
        <v>0.0114</v>
      </c>
      <c r="D81" s="39">
        <v>1.532</v>
      </c>
      <c r="E81" s="41">
        <v>-0.0005</v>
      </c>
    </row>
    <row r="82" ht="14.25" spans="1:5">
      <c r="A82" s="38">
        <v>512390</v>
      </c>
      <c r="B82" s="39">
        <v>1.4318</v>
      </c>
      <c r="C82" s="40">
        <v>0.0114</v>
      </c>
      <c r="D82" s="39">
        <v>1.42</v>
      </c>
      <c r="E82" s="41">
        <v>0.0082</v>
      </c>
    </row>
    <row r="83" ht="14.25" spans="1:5">
      <c r="A83" s="38">
        <v>512950</v>
      </c>
      <c r="B83" s="39">
        <v>1.1276</v>
      </c>
      <c r="C83" s="40">
        <v>0.0113</v>
      </c>
      <c r="D83" s="39">
        <v>1.125</v>
      </c>
      <c r="E83" s="41">
        <v>0.0023</v>
      </c>
    </row>
    <row r="84" ht="14.25" spans="1:5">
      <c r="A84" s="38">
        <v>159932</v>
      </c>
      <c r="B84" s="39">
        <v>1.749</v>
      </c>
      <c r="C84" s="40">
        <v>0.011</v>
      </c>
      <c r="D84" s="39">
        <v>1.742</v>
      </c>
      <c r="E84" s="41">
        <v>0.004</v>
      </c>
    </row>
    <row r="85" ht="14.25" spans="1:5">
      <c r="A85" s="38">
        <v>515560</v>
      </c>
      <c r="B85" s="39">
        <v>1.0132</v>
      </c>
      <c r="C85" s="40">
        <v>0.011</v>
      </c>
      <c r="D85" s="39">
        <v>1.014</v>
      </c>
      <c r="E85" s="41">
        <v>-0.0008</v>
      </c>
    </row>
    <row r="86" ht="14.25" spans="1:5">
      <c r="A86" s="38">
        <v>512880</v>
      </c>
      <c r="B86" s="39">
        <v>1.145</v>
      </c>
      <c r="C86" s="40">
        <v>0.0109</v>
      </c>
      <c r="D86" s="39">
        <v>1.147</v>
      </c>
      <c r="E86" s="41">
        <v>-0.0017</v>
      </c>
    </row>
    <row r="87" ht="14.25" spans="1:5">
      <c r="A87" s="38">
        <v>512000</v>
      </c>
      <c r="B87" s="39">
        <v>1.0946</v>
      </c>
      <c r="C87" s="40">
        <v>0.0109</v>
      </c>
      <c r="D87" s="39">
        <v>1.097</v>
      </c>
      <c r="E87" s="41">
        <v>-0.0022</v>
      </c>
    </row>
    <row r="88" ht="14.25" spans="1:5">
      <c r="A88" s="38">
        <v>512900</v>
      </c>
      <c r="B88" s="39">
        <v>1.1324</v>
      </c>
      <c r="C88" s="40">
        <v>0.0109</v>
      </c>
      <c r="D88" s="39">
        <v>1.133</v>
      </c>
      <c r="E88" s="41">
        <v>-0.0005</v>
      </c>
    </row>
    <row r="89" ht="14.25" spans="1:5">
      <c r="A89" s="38">
        <v>159967</v>
      </c>
      <c r="B89" s="39">
        <v>0.6241</v>
      </c>
      <c r="C89" s="40">
        <v>0.0109</v>
      </c>
      <c r="D89" s="39">
        <v>0.624</v>
      </c>
      <c r="E89" s="41">
        <v>0.0002</v>
      </c>
    </row>
    <row r="90" ht="14.25" spans="1:5">
      <c r="A90" s="38">
        <v>515590</v>
      </c>
      <c r="B90" s="39">
        <v>1.3484</v>
      </c>
      <c r="C90" s="40">
        <v>0.0109</v>
      </c>
      <c r="D90" s="39">
        <v>1.337</v>
      </c>
      <c r="E90" s="41">
        <v>0.0085</v>
      </c>
    </row>
    <row r="91" ht="14.25" spans="1:5">
      <c r="A91" s="38">
        <v>515010</v>
      </c>
      <c r="B91" s="39">
        <v>1.244</v>
      </c>
      <c r="C91" s="40">
        <v>0.0109</v>
      </c>
      <c r="D91" s="39">
        <v>1.245</v>
      </c>
      <c r="E91" s="41">
        <v>-0.0008</v>
      </c>
    </row>
    <row r="92" ht="14.25" spans="1:5">
      <c r="A92" s="38">
        <v>512570</v>
      </c>
      <c r="B92" s="39">
        <v>1.1213</v>
      </c>
      <c r="C92" s="40">
        <v>0.0108</v>
      </c>
      <c r="D92" s="39">
        <v>1.121</v>
      </c>
      <c r="E92" s="41">
        <v>0.0003</v>
      </c>
    </row>
    <row r="93" ht="14.25" spans="1:5">
      <c r="A93" s="38">
        <v>515450</v>
      </c>
      <c r="B93" s="39">
        <v>1.0898</v>
      </c>
      <c r="C93" s="40">
        <v>0.0106</v>
      </c>
      <c r="D93" s="39">
        <v>1.088</v>
      </c>
      <c r="E93" s="41">
        <v>0.0017</v>
      </c>
    </row>
    <row r="94" ht="14.25" spans="1:5">
      <c r="A94" s="38">
        <v>510290</v>
      </c>
      <c r="B94" s="39">
        <v>1.8596</v>
      </c>
      <c r="C94" s="40">
        <v>0.0104</v>
      </c>
      <c r="D94" s="39">
        <v>1.86</v>
      </c>
      <c r="E94" s="41">
        <v>-0.0002</v>
      </c>
    </row>
    <row r="95" ht="14.25" spans="1:5">
      <c r="A95" s="38">
        <v>515100</v>
      </c>
      <c r="B95" s="39">
        <v>1.2004</v>
      </c>
      <c r="C95" s="40">
        <v>0.0104</v>
      </c>
      <c r="D95" s="39">
        <v>1.202</v>
      </c>
      <c r="E95" s="41">
        <v>-0.0013</v>
      </c>
    </row>
    <row r="96" ht="14.25" spans="1:5">
      <c r="A96" s="38">
        <v>159974</v>
      </c>
      <c r="B96" s="39">
        <v>1.0622</v>
      </c>
      <c r="C96" s="40">
        <v>0.0104</v>
      </c>
      <c r="D96" s="39">
        <v>1.059</v>
      </c>
      <c r="E96" s="41">
        <v>0.003</v>
      </c>
    </row>
    <row r="97" ht="14.25" spans="1:5">
      <c r="A97" s="38">
        <v>512380</v>
      </c>
      <c r="B97" s="39">
        <v>1.4227</v>
      </c>
      <c r="C97" s="40">
        <v>0.0102</v>
      </c>
      <c r="D97" s="39">
        <v>1.421</v>
      </c>
      <c r="E97" s="41">
        <v>0.0012</v>
      </c>
    </row>
    <row r="98" ht="14.25" spans="1:5">
      <c r="A98" s="38">
        <v>512100</v>
      </c>
      <c r="B98" s="39">
        <v>0.9259</v>
      </c>
      <c r="C98" s="40">
        <v>0.0101</v>
      </c>
      <c r="D98" s="39">
        <v>0.925</v>
      </c>
      <c r="E98" s="41">
        <v>0.001</v>
      </c>
    </row>
    <row r="99" ht="14.25" spans="1:5">
      <c r="A99" s="38">
        <v>515900</v>
      </c>
      <c r="B99" s="39">
        <v>1.0356</v>
      </c>
      <c r="C99" s="40">
        <v>0.0101</v>
      </c>
      <c r="D99" s="39">
        <v>1.034</v>
      </c>
      <c r="E99" s="41">
        <v>0.0015</v>
      </c>
    </row>
    <row r="100" ht="14.25" spans="1:5">
      <c r="A100" s="38">
        <v>515600</v>
      </c>
      <c r="B100" s="39">
        <v>1.0223</v>
      </c>
      <c r="C100" s="40">
        <v>0.0101</v>
      </c>
      <c r="D100" s="39">
        <v>1.022</v>
      </c>
      <c r="E100" s="41">
        <v>0.0003</v>
      </c>
    </row>
    <row r="101" ht="14.25" spans="1:5">
      <c r="A101" s="38">
        <v>515680</v>
      </c>
      <c r="B101" s="39">
        <v>1.0384</v>
      </c>
      <c r="C101" s="40">
        <v>0.01</v>
      </c>
      <c r="D101" s="39">
        <v>1.017</v>
      </c>
      <c r="E101" s="41">
        <v>0.0206</v>
      </c>
    </row>
    <row r="102" ht="14.25" spans="1:5">
      <c r="A102" s="38">
        <v>510180</v>
      </c>
      <c r="B102" s="39">
        <v>4.1389</v>
      </c>
      <c r="C102" s="40">
        <v>0.0099</v>
      </c>
      <c r="D102" s="39">
        <v>4.132</v>
      </c>
      <c r="E102" s="41">
        <v>0.0017</v>
      </c>
    </row>
    <row r="103" ht="14.25" spans="1:5">
      <c r="A103" s="38">
        <v>512280</v>
      </c>
      <c r="B103" s="39">
        <v>1.5276</v>
      </c>
      <c r="C103" s="40">
        <v>0.0099</v>
      </c>
      <c r="D103" s="39">
        <v>1.525</v>
      </c>
      <c r="E103" s="41">
        <v>0.0017</v>
      </c>
    </row>
    <row r="104" ht="14.25" spans="1:5">
      <c r="A104" s="38">
        <v>512650</v>
      </c>
      <c r="B104" s="39">
        <v>1.2269</v>
      </c>
      <c r="C104" s="40">
        <v>0.0099</v>
      </c>
      <c r="D104" s="39">
        <v>1.224</v>
      </c>
      <c r="E104" s="41">
        <v>0.0024</v>
      </c>
    </row>
    <row r="105" ht="14.25" spans="1:5">
      <c r="A105" s="38">
        <v>515780</v>
      </c>
      <c r="B105" s="39">
        <v>1.4245</v>
      </c>
      <c r="C105" s="40">
        <v>0.0099</v>
      </c>
      <c r="D105" s="39">
        <v>1.42</v>
      </c>
      <c r="E105" s="41">
        <v>0.0032</v>
      </c>
    </row>
    <row r="106" ht="14.25" spans="1:5">
      <c r="A106" s="38">
        <v>512090</v>
      </c>
      <c r="B106" s="39">
        <v>1.6425</v>
      </c>
      <c r="C106" s="40">
        <v>0.0098</v>
      </c>
      <c r="D106" s="39">
        <v>1.642</v>
      </c>
      <c r="E106" s="41">
        <v>0.0003</v>
      </c>
    </row>
    <row r="107" ht="14.25" spans="1:5">
      <c r="A107" s="38">
        <v>512970</v>
      </c>
      <c r="B107" s="39">
        <v>1.445</v>
      </c>
      <c r="C107" s="40">
        <v>0.0098</v>
      </c>
      <c r="D107" s="39">
        <v>1.44</v>
      </c>
      <c r="E107" s="41">
        <v>0.0035</v>
      </c>
    </row>
    <row r="108" ht="14.25" spans="1:5">
      <c r="A108" s="38">
        <v>159918</v>
      </c>
      <c r="B108" s="39">
        <v>1.9373</v>
      </c>
      <c r="C108" s="40">
        <v>0.0097</v>
      </c>
      <c r="D108" s="39">
        <v>1.935</v>
      </c>
      <c r="E108" s="41">
        <v>0.0012</v>
      </c>
    </row>
    <row r="109" ht="14.25" spans="1:5">
      <c r="A109" s="38">
        <v>512520</v>
      </c>
      <c r="B109" s="39">
        <v>1.6234</v>
      </c>
      <c r="C109" s="40">
        <v>0.0095</v>
      </c>
      <c r="D109" s="39">
        <v>1.617</v>
      </c>
      <c r="E109" s="41">
        <v>0.0039</v>
      </c>
    </row>
    <row r="110" ht="14.25" spans="1:5">
      <c r="A110" s="38">
        <v>515810</v>
      </c>
      <c r="B110" s="39">
        <v>1.3925</v>
      </c>
      <c r="C110" s="40">
        <v>0.0095</v>
      </c>
      <c r="D110" s="39">
        <v>1.391</v>
      </c>
      <c r="E110" s="41">
        <v>0.0011</v>
      </c>
    </row>
    <row r="111" ht="14.25" spans="1:5">
      <c r="A111" s="38">
        <v>515820</v>
      </c>
      <c r="B111" s="39">
        <v>1.2708</v>
      </c>
      <c r="C111" s="40">
        <v>0.0095</v>
      </c>
      <c r="D111" s="39">
        <v>1.267</v>
      </c>
      <c r="E111" s="41">
        <v>0.003</v>
      </c>
    </row>
    <row r="112" ht="14.25" spans="1:5">
      <c r="A112" s="38">
        <v>515770</v>
      </c>
      <c r="B112" s="39">
        <v>1.2954</v>
      </c>
      <c r="C112" s="40">
        <v>0.0095</v>
      </c>
      <c r="D112" s="39">
        <v>1.292</v>
      </c>
      <c r="E112" s="41">
        <v>0.0026</v>
      </c>
    </row>
    <row r="113" ht="14.25" spans="1:5">
      <c r="A113" s="38">
        <v>512990</v>
      </c>
      <c r="B113" s="39">
        <v>1.71</v>
      </c>
      <c r="C113" s="40">
        <v>0.0094</v>
      </c>
      <c r="D113" s="39">
        <v>1.71</v>
      </c>
      <c r="E113" s="41">
        <v>0</v>
      </c>
    </row>
    <row r="114" ht="14.25" spans="1:5">
      <c r="A114" s="38">
        <v>512160</v>
      </c>
      <c r="B114" s="39">
        <v>1.6162</v>
      </c>
      <c r="C114" s="40">
        <v>0.0093</v>
      </c>
      <c r="D114" s="39">
        <v>1.616</v>
      </c>
      <c r="E114" s="41">
        <v>0.0001</v>
      </c>
    </row>
    <row r="115" ht="14.25" spans="1:5">
      <c r="A115" s="38">
        <v>515000</v>
      </c>
      <c r="B115" s="39">
        <v>1.7671</v>
      </c>
      <c r="C115" s="40">
        <v>0.0093</v>
      </c>
      <c r="D115" s="39">
        <v>1.768</v>
      </c>
      <c r="E115" s="41">
        <v>-0.0005</v>
      </c>
    </row>
    <row r="116" ht="14.25" spans="1:5">
      <c r="A116" s="38">
        <v>159966</v>
      </c>
      <c r="B116" s="39">
        <v>0.6247</v>
      </c>
      <c r="C116" s="40">
        <v>0.0092</v>
      </c>
      <c r="D116" s="39">
        <v>0.625</v>
      </c>
      <c r="E116" s="41">
        <v>-0.0005</v>
      </c>
    </row>
    <row r="117" ht="14.25" spans="1:5">
      <c r="A117" s="38">
        <v>512320</v>
      </c>
      <c r="B117" s="39">
        <v>1.0651</v>
      </c>
      <c r="C117" s="40">
        <v>0.0092</v>
      </c>
      <c r="D117" s="39">
        <v>1.061</v>
      </c>
      <c r="E117" s="41">
        <v>0.0038</v>
      </c>
    </row>
    <row r="118" ht="14.25" spans="1:5">
      <c r="A118" s="38">
        <v>515300</v>
      </c>
      <c r="B118" s="39">
        <v>1.0779</v>
      </c>
      <c r="C118" s="40">
        <v>0.0092</v>
      </c>
      <c r="D118" s="39">
        <v>1.078</v>
      </c>
      <c r="E118" s="41">
        <v>-0.0001</v>
      </c>
    </row>
    <row r="119" ht="14.25" spans="1:5">
      <c r="A119" s="38">
        <v>515800</v>
      </c>
      <c r="B119" s="39">
        <v>1.2676</v>
      </c>
      <c r="C119" s="40">
        <v>0.0092</v>
      </c>
      <c r="D119" s="39">
        <v>1.265</v>
      </c>
      <c r="E119" s="41">
        <v>0.0021</v>
      </c>
    </row>
    <row r="120" ht="14.25" spans="1:5">
      <c r="A120" s="38">
        <v>515830</v>
      </c>
      <c r="B120" s="39">
        <v>5.2595</v>
      </c>
      <c r="C120" s="40">
        <v>0.0091</v>
      </c>
      <c r="D120" s="39">
        <v>5.238</v>
      </c>
      <c r="E120" s="41">
        <v>0.0041</v>
      </c>
    </row>
    <row r="121" ht="14.25" spans="1:5">
      <c r="A121" s="38">
        <v>515130</v>
      </c>
      <c r="B121" s="39">
        <v>1.4142</v>
      </c>
      <c r="C121" s="40">
        <v>0.0091</v>
      </c>
      <c r="D121" s="39">
        <v>1.414</v>
      </c>
      <c r="E121" s="41">
        <v>0.0001</v>
      </c>
    </row>
    <row r="122" ht="14.25" spans="1:5">
      <c r="A122" s="38">
        <v>512180</v>
      </c>
      <c r="B122" s="39">
        <v>1.4691</v>
      </c>
      <c r="C122" s="40">
        <v>0.0091</v>
      </c>
      <c r="D122" s="39">
        <v>1.464</v>
      </c>
      <c r="E122" s="41">
        <v>0.0035</v>
      </c>
    </row>
    <row r="123" ht="14.25" spans="1:5">
      <c r="A123" s="38">
        <v>510160</v>
      </c>
      <c r="B123" s="39">
        <v>0.6803</v>
      </c>
      <c r="C123" s="40">
        <v>0.009</v>
      </c>
      <c r="D123" s="39">
        <v>0.682</v>
      </c>
      <c r="E123" s="41">
        <v>-0.0025</v>
      </c>
    </row>
    <row r="124" ht="14.25" spans="1:5">
      <c r="A124" s="38">
        <v>510210</v>
      </c>
      <c r="B124" s="39">
        <v>4.723</v>
      </c>
      <c r="C124" s="40">
        <v>0.009</v>
      </c>
      <c r="D124" s="39">
        <v>4.723</v>
      </c>
      <c r="E124" s="41">
        <v>0</v>
      </c>
    </row>
    <row r="125" ht="14.25" spans="1:5">
      <c r="A125" s="38">
        <v>159804</v>
      </c>
      <c r="B125" s="39">
        <v>1.1437</v>
      </c>
      <c r="C125" s="40">
        <v>0.009</v>
      </c>
      <c r="D125" s="39">
        <v>1.143</v>
      </c>
      <c r="E125" s="41">
        <v>0.0006</v>
      </c>
    </row>
    <row r="126" ht="14.25" spans="1:5">
      <c r="A126" s="38">
        <v>510200</v>
      </c>
      <c r="B126" s="39">
        <v>1.2115</v>
      </c>
      <c r="C126" s="40">
        <v>0.009</v>
      </c>
      <c r="D126" s="39">
        <v>1.211</v>
      </c>
      <c r="E126" s="41">
        <v>0.0004</v>
      </c>
    </row>
    <row r="127" ht="14.25" spans="1:5">
      <c r="A127" s="38">
        <v>515930</v>
      </c>
      <c r="B127" s="39">
        <v>5.5491</v>
      </c>
      <c r="C127" s="40">
        <v>0.009</v>
      </c>
      <c r="D127" s="39">
        <v>5.545</v>
      </c>
      <c r="E127" s="41">
        <v>0.0007</v>
      </c>
    </row>
    <row r="128" ht="14.25" spans="1:5">
      <c r="A128" s="38">
        <v>512360</v>
      </c>
      <c r="B128" s="39">
        <v>1.6325</v>
      </c>
      <c r="C128" s="40">
        <v>0.0089</v>
      </c>
      <c r="D128" s="39">
        <v>1.631</v>
      </c>
      <c r="E128" s="41">
        <v>0.0009</v>
      </c>
    </row>
    <row r="129" ht="14.25" spans="1:5">
      <c r="A129" s="38">
        <v>515160</v>
      </c>
      <c r="B129" s="39">
        <v>1.3978</v>
      </c>
      <c r="C129" s="40">
        <v>0.0089</v>
      </c>
      <c r="D129" s="39">
        <v>1.392</v>
      </c>
      <c r="E129" s="41">
        <v>0.0041</v>
      </c>
    </row>
    <row r="130" ht="14.25" spans="1:5">
      <c r="A130" s="38">
        <v>515610</v>
      </c>
      <c r="B130" s="39">
        <v>1.0409</v>
      </c>
      <c r="C130" s="40">
        <v>0.0089</v>
      </c>
      <c r="D130" s="39">
        <v>1.036</v>
      </c>
      <c r="E130" s="41">
        <v>0.0047</v>
      </c>
    </row>
    <row r="131" ht="14.25" spans="1:5">
      <c r="A131" s="38">
        <v>159949</v>
      </c>
      <c r="B131" s="39">
        <v>1.1899</v>
      </c>
      <c r="C131" s="40">
        <v>0.0088</v>
      </c>
      <c r="D131" s="39">
        <v>1.192</v>
      </c>
      <c r="E131" s="41">
        <v>-0.0018</v>
      </c>
    </row>
    <row r="132" ht="14.25" spans="1:5">
      <c r="A132" s="38">
        <v>512920</v>
      </c>
      <c r="B132" s="39">
        <v>1.7614</v>
      </c>
      <c r="C132" s="40">
        <v>0.0087</v>
      </c>
      <c r="D132" s="39">
        <v>1.742</v>
      </c>
      <c r="E132" s="41">
        <v>0.011</v>
      </c>
    </row>
    <row r="133" ht="14.25" spans="1:5">
      <c r="A133" s="38">
        <v>510380</v>
      </c>
      <c r="B133" s="39">
        <v>1.3189</v>
      </c>
      <c r="C133" s="40">
        <v>0.0087</v>
      </c>
      <c r="D133" s="39">
        <v>1.314</v>
      </c>
      <c r="E133" s="41">
        <v>0.0037</v>
      </c>
    </row>
    <row r="134" ht="14.25" spans="1:5">
      <c r="A134" s="38">
        <v>515620</v>
      </c>
      <c r="B134" s="39">
        <v>1.2666</v>
      </c>
      <c r="C134" s="40">
        <v>0.0087</v>
      </c>
      <c r="D134" s="39">
        <v>1.258</v>
      </c>
      <c r="E134" s="41">
        <v>0.0068</v>
      </c>
    </row>
    <row r="135" ht="14.25" spans="1:5">
      <c r="A135" s="38">
        <v>512860</v>
      </c>
      <c r="B135" s="39">
        <v>1.6497</v>
      </c>
      <c r="C135" s="40">
        <v>0.0086</v>
      </c>
      <c r="D135" s="39">
        <v>1.646</v>
      </c>
      <c r="E135" s="41">
        <v>0.0022</v>
      </c>
    </row>
    <row r="136" ht="14.25" spans="1:5">
      <c r="A136" s="38">
        <v>510360</v>
      </c>
      <c r="B136" s="39">
        <v>1.7039</v>
      </c>
      <c r="C136" s="40">
        <v>0.0086</v>
      </c>
      <c r="D136" s="39">
        <v>1.702</v>
      </c>
      <c r="E136" s="41">
        <v>0.0011</v>
      </c>
    </row>
    <row r="137" ht="14.25" spans="1:5">
      <c r="A137" s="38">
        <v>515360</v>
      </c>
      <c r="B137" s="39">
        <v>5.5898</v>
      </c>
      <c r="C137" s="40">
        <v>0.0086</v>
      </c>
      <c r="D137" s="39">
        <v>5.654</v>
      </c>
      <c r="E137" s="41">
        <v>-0.0115</v>
      </c>
    </row>
    <row r="138" ht="14.25" spans="1:5">
      <c r="A138" s="38">
        <v>510390</v>
      </c>
      <c r="B138" s="39">
        <v>5.17</v>
      </c>
      <c r="C138" s="40">
        <v>0.0085</v>
      </c>
      <c r="D138" s="39">
        <v>5.172</v>
      </c>
      <c r="E138" s="41">
        <v>-0.0004</v>
      </c>
    </row>
    <row r="139" ht="14.25" spans="1:5">
      <c r="A139" s="38">
        <v>159986</v>
      </c>
      <c r="B139" s="39">
        <v>1.4893</v>
      </c>
      <c r="C139" s="40">
        <v>0.0085</v>
      </c>
      <c r="D139" s="39">
        <v>1.484</v>
      </c>
      <c r="E139" s="41">
        <v>0.0036</v>
      </c>
    </row>
    <row r="140" ht="14.25" spans="1:5">
      <c r="A140" s="38">
        <v>515390</v>
      </c>
      <c r="B140" s="39">
        <v>1.2513</v>
      </c>
      <c r="C140" s="40">
        <v>0.0085</v>
      </c>
      <c r="D140" s="39">
        <v>1.249</v>
      </c>
      <c r="E140" s="41">
        <v>0.0018</v>
      </c>
    </row>
    <row r="141" ht="14.25" spans="1:5">
      <c r="A141" s="38">
        <v>159925</v>
      </c>
      <c r="B141" s="39">
        <v>2.3587</v>
      </c>
      <c r="C141" s="40">
        <v>0.0084</v>
      </c>
      <c r="D141" s="39">
        <v>2.358</v>
      </c>
      <c r="E141" s="41">
        <v>0.0003</v>
      </c>
    </row>
    <row r="142" ht="14.25" spans="1:5">
      <c r="A142" s="38">
        <v>510300</v>
      </c>
      <c r="B142" s="39">
        <v>5.1124</v>
      </c>
      <c r="C142" s="40">
        <v>0.0084</v>
      </c>
      <c r="D142" s="39">
        <v>5.116</v>
      </c>
      <c r="E142" s="41">
        <v>-0.0007</v>
      </c>
    </row>
    <row r="143" ht="14.25" spans="1:5">
      <c r="A143" s="38">
        <v>510310</v>
      </c>
      <c r="B143" s="39">
        <v>2.2916</v>
      </c>
      <c r="C143" s="40">
        <v>0.0084</v>
      </c>
      <c r="D143" s="39">
        <v>2.292</v>
      </c>
      <c r="E143" s="41">
        <v>-0.0002</v>
      </c>
    </row>
    <row r="144" ht="14.25" spans="1:5">
      <c r="A144" s="38">
        <v>510330</v>
      </c>
      <c r="B144" s="39">
        <v>5.1335</v>
      </c>
      <c r="C144" s="40">
        <v>0.0084</v>
      </c>
      <c r="D144" s="39">
        <v>5.135</v>
      </c>
      <c r="E144" s="41">
        <v>-0.0003</v>
      </c>
    </row>
    <row r="145" ht="14.25" spans="1:5">
      <c r="A145" s="38">
        <v>159919</v>
      </c>
      <c r="B145" s="39">
        <v>5.0325</v>
      </c>
      <c r="C145" s="40">
        <v>0.0084</v>
      </c>
      <c r="D145" s="39">
        <v>5.03</v>
      </c>
      <c r="E145" s="41">
        <v>0.0005</v>
      </c>
    </row>
    <row r="146" ht="14.25" spans="1:5">
      <c r="A146" s="38">
        <v>515350</v>
      </c>
      <c r="B146" s="39">
        <v>5.5011</v>
      </c>
      <c r="C146" s="40">
        <v>0.0084</v>
      </c>
      <c r="D146" s="39">
        <v>5.5</v>
      </c>
      <c r="E146" s="41">
        <v>0.0002</v>
      </c>
    </row>
    <row r="147" ht="14.25" spans="1:5">
      <c r="A147" s="38">
        <v>515310</v>
      </c>
      <c r="B147" s="39">
        <v>1.3009</v>
      </c>
      <c r="C147" s="40">
        <v>0.0084</v>
      </c>
      <c r="D147" s="39">
        <v>1.298</v>
      </c>
      <c r="E147" s="41">
        <v>0.0022</v>
      </c>
    </row>
    <row r="148" ht="14.25" spans="1:5">
      <c r="A148" s="38">
        <v>515330</v>
      </c>
      <c r="B148" s="39">
        <v>1.2995</v>
      </c>
      <c r="C148" s="40">
        <v>0.0084</v>
      </c>
      <c r="D148" s="39">
        <v>1.299</v>
      </c>
      <c r="E148" s="41">
        <v>0.0004</v>
      </c>
    </row>
    <row r="149" ht="14.25" spans="1:5">
      <c r="A149" s="38">
        <v>515380</v>
      </c>
      <c r="B149" s="39">
        <v>5.1437</v>
      </c>
      <c r="C149" s="40">
        <v>0.0084</v>
      </c>
      <c r="D149" s="39">
        <v>5.143</v>
      </c>
      <c r="E149" s="41">
        <v>0.0001</v>
      </c>
    </row>
    <row r="150" ht="14.25" spans="1:5">
      <c r="A150" s="38">
        <v>159991</v>
      </c>
      <c r="B150" s="39">
        <v>1.566</v>
      </c>
      <c r="C150" s="40">
        <v>0.0084</v>
      </c>
      <c r="D150" s="39">
        <v>1.563</v>
      </c>
      <c r="E150" s="41">
        <v>0.0019</v>
      </c>
    </row>
    <row r="151" ht="14.25" spans="1:5">
      <c r="A151" s="38">
        <v>510370</v>
      </c>
      <c r="B151" s="39">
        <v>1.061</v>
      </c>
      <c r="C151" s="40">
        <v>0.0084</v>
      </c>
      <c r="D151" s="39">
        <v>1.056</v>
      </c>
      <c r="E151" s="41">
        <v>0.0047</v>
      </c>
    </row>
    <row r="152" ht="14.25" spans="1:5">
      <c r="A152" s="38">
        <v>159907</v>
      </c>
      <c r="B152" s="39">
        <v>1.7974</v>
      </c>
      <c r="C152" s="40">
        <v>0.0083</v>
      </c>
      <c r="D152" s="39">
        <v>1.786</v>
      </c>
      <c r="E152" s="41">
        <v>0.0063</v>
      </c>
    </row>
    <row r="153" ht="14.25" spans="1:5">
      <c r="A153" s="38">
        <v>510350</v>
      </c>
      <c r="B153" s="39">
        <v>5.0675</v>
      </c>
      <c r="C153" s="40">
        <v>0.0083</v>
      </c>
      <c r="D153" s="39">
        <v>5.065</v>
      </c>
      <c r="E153" s="41">
        <v>0.0005</v>
      </c>
    </row>
    <row r="154" ht="14.25" spans="1:5">
      <c r="A154" s="38">
        <v>515660</v>
      </c>
      <c r="B154" s="39">
        <v>5.3268</v>
      </c>
      <c r="C154" s="40">
        <v>0.0083</v>
      </c>
      <c r="D154" s="39">
        <v>5.304</v>
      </c>
      <c r="E154" s="41">
        <v>0.0043</v>
      </c>
    </row>
    <row r="155" ht="14.25" spans="1:5">
      <c r="A155" s="38">
        <v>159993</v>
      </c>
      <c r="B155" s="39">
        <v>1.159</v>
      </c>
      <c r="C155" s="40">
        <v>0.0083</v>
      </c>
      <c r="D155" s="39">
        <v>1.161</v>
      </c>
      <c r="E155" s="41">
        <v>-0.0017</v>
      </c>
    </row>
    <row r="156" ht="14.25" spans="1:5">
      <c r="A156" s="38">
        <v>159827</v>
      </c>
      <c r="B156" s="39">
        <v>1.0175</v>
      </c>
      <c r="C156" s="40">
        <v>0.0082</v>
      </c>
      <c r="D156" s="39">
        <v>1.016</v>
      </c>
      <c r="E156" s="41">
        <v>0.0015</v>
      </c>
    </row>
    <row r="157" ht="14.25" spans="1:5">
      <c r="A157" s="38">
        <v>159814</v>
      </c>
      <c r="B157" s="39">
        <v>1.1369</v>
      </c>
      <c r="C157" s="40">
        <v>0.008</v>
      </c>
      <c r="D157" s="39">
        <v>1.135</v>
      </c>
      <c r="E157" s="41">
        <v>0.0017</v>
      </c>
    </row>
    <row r="158" ht="14.25" spans="1:5">
      <c r="A158" s="38">
        <v>159956</v>
      </c>
      <c r="B158" s="39">
        <v>1.6498</v>
      </c>
      <c r="C158" s="40">
        <v>0.0078</v>
      </c>
      <c r="D158" s="39">
        <v>1.638</v>
      </c>
      <c r="E158" s="41">
        <v>0.0072</v>
      </c>
    </row>
    <row r="159" ht="14.25" spans="1:5">
      <c r="A159" s="38">
        <v>515500</v>
      </c>
      <c r="B159" s="39">
        <v>1.0175</v>
      </c>
      <c r="C159" s="40">
        <v>0.0078</v>
      </c>
      <c r="D159" s="39">
        <v>1.017</v>
      </c>
      <c r="E159" s="41">
        <v>0.0005</v>
      </c>
    </row>
    <row r="160" ht="14.25" spans="1:5">
      <c r="A160" s="38">
        <v>159971</v>
      </c>
      <c r="B160" s="39">
        <v>1.9361</v>
      </c>
      <c r="C160" s="40">
        <v>0.0078</v>
      </c>
      <c r="D160" s="39">
        <v>1.928</v>
      </c>
      <c r="E160" s="41">
        <v>0.0042</v>
      </c>
    </row>
    <row r="161" ht="14.25" spans="1:5">
      <c r="A161" s="38">
        <v>159962</v>
      </c>
      <c r="B161" s="39">
        <v>1.4605</v>
      </c>
      <c r="C161" s="40">
        <v>0.0077</v>
      </c>
      <c r="D161" s="39">
        <v>1.456</v>
      </c>
      <c r="E161" s="41">
        <v>0.0031</v>
      </c>
    </row>
    <row r="162" ht="14.25" spans="1:5">
      <c r="A162" s="38">
        <v>159943</v>
      </c>
      <c r="B162" s="39">
        <v>15.714</v>
      </c>
      <c r="C162" s="40">
        <v>0.0076</v>
      </c>
      <c r="D162" s="39">
        <v>15.639</v>
      </c>
      <c r="E162" s="41">
        <v>0.0048</v>
      </c>
    </row>
    <row r="163" ht="14.25" spans="1:5">
      <c r="A163" s="38">
        <v>159957</v>
      </c>
      <c r="B163" s="39">
        <v>1.73</v>
      </c>
      <c r="C163" s="40">
        <v>0.0075</v>
      </c>
      <c r="D163" s="39">
        <v>1.726</v>
      </c>
      <c r="E163" s="41">
        <v>0.0023</v>
      </c>
    </row>
    <row r="164" ht="14.25" spans="1:5">
      <c r="A164" s="38">
        <v>515080</v>
      </c>
      <c r="B164" s="39">
        <v>1.2376</v>
      </c>
      <c r="C164" s="40">
        <v>0.0075</v>
      </c>
      <c r="D164" s="39">
        <v>1.238</v>
      </c>
      <c r="E164" s="41">
        <v>-0.0003</v>
      </c>
    </row>
    <row r="165" ht="14.25" spans="1:5">
      <c r="A165" s="38">
        <v>510890</v>
      </c>
      <c r="B165" s="39">
        <v>1.0663</v>
      </c>
      <c r="C165" s="40">
        <v>0.0075</v>
      </c>
      <c r="D165" s="39">
        <v>1.067</v>
      </c>
      <c r="E165" s="41">
        <v>-0.0007</v>
      </c>
    </row>
    <row r="166" ht="14.25" spans="1:5">
      <c r="A166" s="38">
        <v>510190</v>
      </c>
      <c r="B166" s="39">
        <v>4.068</v>
      </c>
      <c r="C166" s="40">
        <v>0.0074</v>
      </c>
      <c r="D166" s="39">
        <v>4.049</v>
      </c>
      <c r="E166" s="41">
        <v>0.0047</v>
      </c>
    </row>
    <row r="167" ht="14.25" spans="1:5">
      <c r="A167" s="38">
        <v>159902</v>
      </c>
      <c r="B167" s="39">
        <v>4.606</v>
      </c>
      <c r="C167" s="40">
        <v>0.0074</v>
      </c>
      <c r="D167" s="39">
        <v>4.608</v>
      </c>
      <c r="E167" s="41">
        <v>-0.0004</v>
      </c>
    </row>
    <row r="168" ht="14.25" spans="1:5">
      <c r="A168" s="38">
        <v>159903</v>
      </c>
      <c r="B168" s="39">
        <v>1.5885</v>
      </c>
      <c r="C168" s="40">
        <v>0.0074</v>
      </c>
      <c r="D168" s="39">
        <v>1.58</v>
      </c>
      <c r="E168" s="41">
        <v>0.0054</v>
      </c>
    </row>
    <row r="169" ht="14.25" spans="1:5">
      <c r="A169" s="38">
        <v>510760</v>
      </c>
      <c r="B169" s="39">
        <v>0.9817</v>
      </c>
      <c r="C169" s="40">
        <v>0.0074</v>
      </c>
      <c r="D169" s="39">
        <v>0.983</v>
      </c>
      <c r="E169" s="41">
        <v>-0.0013</v>
      </c>
    </row>
    <row r="170" ht="14.25" spans="1:5">
      <c r="A170" s="38">
        <v>515520</v>
      </c>
      <c r="B170" s="39">
        <v>1.3523</v>
      </c>
      <c r="C170" s="40">
        <v>0.0074</v>
      </c>
      <c r="D170" s="39">
        <v>1.355</v>
      </c>
      <c r="E170" s="41">
        <v>-0.002</v>
      </c>
    </row>
    <row r="171" ht="14.25" spans="1:5">
      <c r="A171" s="38">
        <v>159908</v>
      </c>
      <c r="B171" s="39">
        <v>2.4875</v>
      </c>
      <c r="C171" s="40">
        <v>0.0073</v>
      </c>
      <c r="D171" s="39">
        <v>2.49</v>
      </c>
      <c r="E171" s="41">
        <v>-0.001</v>
      </c>
    </row>
    <row r="172" ht="14.25" spans="1:5">
      <c r="A172" s="38">
        <v>159910</v>
      </c>
      <c r="B172" s="39">
        <v>2.4509</v>
      </c>
      <c r="C172" s="40">
        <v>0.0073</v>
      </c>
      <c r="D172" s="39">
        <v>2.446</v>
      </c>
      <c r="E172" s="41">
        <v>0.002</v>
      </c>
    </row>
    <row r="173" ht="14.25" spans="1:5">
      <c r="A173" s="38">
        <v>159964</v>
      </c>
      <c r="B173" s="39">
        <v>1.7159</v>
      </c>
      <c r="C173" s="40">
        <v>0.0073</v>
      </c>
      <c r="D173" s="39">
        <v>1.706</v>
      </c>
      <c r="E173" s="41">
        <v>0.0058</v>
      </c>
    </row>
    <row r="174" ht="14.25" spans="1:5">
      <c r="A174" s="38">
        <v>159952</v>
      </c>
      <c r="B174" s="39">
        <v>1.6544</v>
      </c>
      <c r="C174" s="40">
        <v>0.0072</v>
      </c>
      <c r="D174" s="39">
        <v>1.656</v>
      </c>
      <c r="E174" s="41">
        <v>-0.001</v>
      </c>
    </row>
    <row r="175" ht="14.25" spans="1:5">
      <c r="A175" s="38">
        <v>159810</v>
      </c>
      <c r="B175" s="39">
        <v>1.1215</v>
      </c>
      <c r="C175" s="40">
        <v>0.0072</v>
      </c>
      <c r="D175" s="39">
        <v>1.121</v>
      </c>
      <c r="E175" s="41">
        <v>0.0004</v>
      </c>
    </row>
    <row r="176" ht="14.25" spans="1:5">
      <c r="A176" s="38">
        <v>515180</v>
      </c>
      <c r="B176" s="39">
        <v>1.1077</v>
      </c>
      <c r="C176" s="40">
        <v>0.0072</v>
      </c>
      <c r="D176" s="39">
        <v>1.108</v>
      </c>
      <c r="E176" s="41">
        <v>-0.0003</v>
      </c>
    </row>
    <row r="177" ht="14.25" spans="1:5">
      <c r="A177" s="38">
        <v>159808</v>
      </c>
      <c r="B177" s="39">
        <v>1.0646</v>
      </c>
      <c r="C177" s="40">
        <v>0.0072</v>
      </c>
      <c r="D177" s="39">
        <v>1.062</v>
      </c>
      <c r="E177" s="41">
        <v>0.0024</v>
      </c>
    </row>
    <row r="178" ht="14.25" spans="1:5">
      <c r="A178" s="38">
        <v>159948</v>
      </c>
      <c r="B178" s="39">
        <v>2.9992</v>
      </c>
      <c r="C178" s="40">
        <v>0.0071</v>
      </c>
      <c r="D178" s="39">
        <v>3.001</v>
      </c>
      <c r="E178" s="41">
        <v>-0.0006</v>
      </c>
    </row>
    <row r="179" ht="14.25" spans="1:5">
      <c r="A179" s="38">
        <v>159977</v>
      </c>
      <c r="B179" s="39">
        <v>2.8596</v>
      </c>
      <c r="C179" s="40">
        <v>0.0071</v>
      </c>
      <c r="D179" s="39">
        <v>2.862</v>
      </c>
      <c r="E179" s="41">
        <v>-0.0008</v>
      </c>
    </row>
    <row r="180" ht="14.25" spans="1:5">
      <c r="A180" s="38">
        <v>159915</v>
      </c>
      <c r="B180" s="39">
        <v>2.7456</v>
      </c>
      <c r="C180" s="40">
        <v>0.007</v>
      </c>
      <c r="D180" s="39">
        <v>2.749</v>
      </c>
      <c r="E180" s="41">
        <v>-0.0012</v>
      </c>
    </row>
    <row r="181" ht="14.25" spans="1:5">
      <c r="A181" s="38">
        <v>512040</v>
      </c>
      <c r="B181" s="39">
        <v>1.4666</v>
      </c>
      <c r="C181" s="40">
        <v>0.007</v>
      </c>
      <c r="D181" s="39">
        <v>1.464</v>
      </c>
      <c r="E181" s="41">
        <v>0.0018</v>
      </c>
    </row>
    <row r="182" ht="14.25" spans="1:5">
      <c r="A182" s="38">
        <v>159958</v>
      </c>
      <c r="B182" s="39">
        <v>1.6509</v>
      </c>
      <c r="C182" s="40">
        <v>0.007</v>
      </c>
      <c r="D182" s="39">
        <v>1.65</v>
      </c>
      <c r="E182" s="41">
        <v>0.0005</v>
      </c>
    </row>
    <row r="183" ht="14.25" spans="1:5">
      <c r="A183" s="38">
        <v>515890</v>
      </c>
      <c r="B183" s="39">
        <v>1.2035</v>
      </c>
      <c r="C183" s="40">
        <v>0.007</v>
      </c>
      <c r="D183" s="39">
        <v>1.204</v>
      </c>
      <c r="E183" s="41">
        <v>-0.0004</v>
      </c>
    </row>
    <row r="184" ht="14.25" spans="1:5">
      <c r="A184" s="38">
        <v>510020</v>
      </c>
      <c r="B184" s="39">
        <v>3.658</v>
      </c>
      <c r="C184" s="40">
        <v>0.0069</v>
      </c>
      <c r="D184" s="39">
        <v>3.652</v>
      </c>
      <c r="E184" s="41">
        <v>0.0016</v>
      </c>
    </row>
    <row r="185" ht="14.25" spans="1:5">
      <c r="A185" s="38">
        <v>159955</v>
      </c>
      <c r="B185" s="39">
        <v>1.5383</v>
      </c>
      <c r="C185" s="40">
        <v>0.0069</v>
      </c>
      <c r="D185" s="39">
        <v>1.541</v>
      </c>
      <c r="E185" s="41">
        <v>-0.0018</v>
      </c>
    </row>
    <row r="186" ht="14.25" spans="1:5">
      <c r="A186" s="38">
        <v>510710</v>
      </c>
      <c r="B186" s="39">
        <v>4.1935</v>
      </c>
      <c r="C186" s="40">
        <v>0.0069</v>
      </c>
      <c r="D186" s="39">
        <v>4.194</v>
      </c>
      <c r="E186" s="41">
        <v>-0.0001</v>
      </c>
    </row>
    <row r="187" ht="14.25" spans="1:5">
      <c r="A187" s="38">
        <v>510100</v>
      </c>
      <c r="B187" s="39">
        <v>1.35</v>
      </c>
      <c r="C187" s="40">
        <v>0.0069</v>
      </c>
      <c r="D187" s="39">
        <v>1.351</v>
      </c>
      <c r="E187" s="41">
        <v>-0.0007</v>
      </c>
    </row>
    <row r="188" ht="14.25" spans="1:5">
      <c r="A188" s="38">
        <v>159821</v>
      </c>
      <c r="B188" s="39">
        <v>1.0605</v>
      </c>
      <c r="C188" s="40">
        <v>0.0068</v>
      </c>
      <c r="D188" s="39">
        <v>1.055</v>
      </c>
      <c r="E188" s="41">
        <v>0.0052</v>
      </c>
    </row>
    <row r="189" ht="14.25" spans="1:5">
      <c r="A189" s="38">
        <v>159912</v>
      </c>
      <c r="B189" s="39">
        <v>1.9215</v>
      </c>
      <c r="C189" s="40">
        <v>0.0067</v>
      </c>
      <c r="D189" s="39">
        <v>1.916</v>
      </c>
      <c r="E189" s="41">
        <v>0.0029</v>
      </c>
    </row>
    <row r="190" ht="14.25" spans="1:5">
      <c r="A190" s="38">
        <v>510600</v>
      </c>
      <c r="B190" s="39">
        <v>3.9017</v>
      </c>
      <c r="C190" s="40">
        <v>0.0067</v>
      </c>
      <c r="D190" s="39">
        <v>3.906</v>
      </c>
      <c r="E190" s="41">
        <v>-0.0011</v>
      </c>
    </row>
    <row r="191" ht="14.25" spans="1:5">
      <c r="A191" s="38">
        <v>510050</v>
      </c>
      <c r="B191" s="39">
        <v>3.507</v>
      </c>
      <c r="C191" s="40">
        <v>0.0066</v>
      </c>
      <c r="D191" s="39">
        <v>3.509</v>
      </c>
      <c r="E191" s="41">
        <v>-0.0006</v>
      </c>
    </row>
    <row r="192" ht="14.25" spans="1:5">
      <c r="A192" s="38">
        <v>510680</v>
      </c>
      <c r="B192" s="39">
        <v>3.1709</v>
      </c>
      <c r="C192" s="40">
        <v>0.0066</v>
      </c>
      <c r="D192" s="39">
        <v>3.169</v>
      </c>
      <c r="E192" s="41">
        <v>0.0006</v>
      </c>
    </row>
    <row r="193" ht="14.25" spans="1:5">
      <c r="A193" s="38">
        <v>510800</v>
      </c>
      <c r="B193" s="39">
        <v>1.4161</v>
      </c>
      <c r="C193" s="40">
        <v>0.0065</v>
      </c>
      <c r="D193" s="39">
        <v>1.415</v>
      </c>
      <c r="E193" s="41">
        <v>0.0008</v>
      </c>
    </row>
    <row r="194" ht="14.25" spans="1:5">
      <c r="A194" s="38">
        <v>510850</v>
      </c>
      <c r="B194" s="39">
        <v>3.5847</v>
      </c>
      <c r="C194" s="40">
        <v>0.0065</v>
      </c>
      <c r="D194" s="39">
        <v>3.588</v>
      </c>
      <c r="E194" s="41">
        <v>-0.0009</v>
      </c>
    </row>
    <row r="195" ht="14.25" spans="1:5">
      <c r="A195" s="38">
        <v>512890</v>
      </c>
      <c r="B195" s="39">
        <v>1.3297</v>
      </c>
      <c r="C195" s="40">
        <v>0.0064</v>
      </c>
      <c r="D195" s="39">
        <v>1.332</v>
      </c>
      <c r="E195" s="41">
        <v>-0.0017</v>
      </c>
    </row>
    <row r="196" ht="14.25" spans="1:5">
      <c r="A196" s="38">
        <v>512590</v>
      </c>
      <c r="B196" s="39">
        <v>1.347</v>
      </c>
      <c r="C196" s="40">
        <v>0.0064</v>
      </c>
      <c r="D196" s="39">
        <v>1.348</v>
      </c>
      <c r="E196" s="41">
        <v>-0.0007</v>
      </c>
    </row>
    <row r="197" ht="14.25" spans="1:5">
      <c r="A197" s="38">
        <v>510010</v>
      </c>
      <c r="B197" s="39">
        <v>1.44</v>
      </c>
      <c r="C197" s="40">
        <v>0.0063</v>
      </c>
      <c r="D197" s="39">
        <v>1.449</v>
      </c>
      <c r="E197" s="41">
        <v>-0.0063</v>
      </c>
    </row>
    <row r="198" ht="14.25" spans="1:5">
      <c r="A198" s="38">
        <v>159975</v>
      </c>
      <c r="B198" s="39">
        <v>6.972</v>
      </c>
      <c r="C198" s="40">
        <v>0.0063</v>
      </c>
      <c r="D198" s="39">
        <v>6.962</v>
      </c>
      <c r="E198" s="41">
        <v>0.0014</v>
      </c>
    </row>
    <row r="199" ht="14.25" spans="1:5">
      <c r="A199" s="38">
        <v>510060</v>
      </c>
      <c r="B199" s="39">
        <v>2.0189</v>
      </c>
      <c r="C199" s="40">
        <v>0.0062</v>
      </c>
      <c r="D199" s="39">
        <v>2.01</v>
      </c>
      <c r="E199" s="41">
        <v>0.0044</v>
      </c>
    </row>
    <row r="200" ht="14.25" spans="1:5">
      <c r="A200" s="38">
        <v>510270</v>
      </c>
      <c r="B200" s="39">
        <v>1.294</v>
      </c>
      <c r="C200" s="40">
        <v>0.0062</v>
      </c>
      <c r="D200" s="39">
        <v>1.285</v>
      </c>
      <c r="E200" s="41">
        <v>0.007</v>
      </c>
    </row>
    <row r="201" ht="14.25" spans="1:5">
      <c r="A201" s="38">
        <v>159983</v>
      </c>
      <c r="B201" s="39">
        <v>1.3839</v>
      </c>
      <c r="C201" s="40">
        <v>0.0062</v>
      </c>
      <c r="D201" s="39">
        <v>1.374</v>
      </c>
      <c r="E201" s="41">
        <v>0.0072</v>
      </c>
    </row>
    <row r="202" ht="14.25" spans="1:5">
      <c r="A202" s="38">
        <v>159984</v>
      </c>
      <c r="B202" s="39">
        <v>1.3388</v>
      </c>
      <c r="C202" s="40">
        <v>0.0062</v>
      </c>
      <c r="D202" s="39">
        <v>1.325</v>
      </c>
      <c r="E202" s="41">
        <v>0.0103</v>
      </c>
    </row>
    <row r="203" ht="14.25" spans="1:5">
      <c r="A203" s="38">
        <v>159976</v>
      </c>
      <c r="B203" s="39">
        <v>1.3207</v>
      </c>
      <c r="C203" s="40">
        <v>0.006</v>
      </c>
      <c r="D203" s="39">
        <v>1.31</v>
      </c>
      <c r="E203" s="41">
        <v>0.0081</v>
      </c>
    </row>
    <row r="204" ht="14.25" spans="1:5">
      <c r="A204" s="38">
        <v>159979</v>
      </c>
      <c r="B204" s="39">
        <v>1.2792</v>
      </c>
      <c r="C204" s="40">
        <v>0.006</v>
      </c>
      <c r="D204" s="39">
        <v>1.257</v>
      </c>
      <c r="E204" s="41">
        <v>0.0174</v>
      </c>
    </row>
    <row r="205" ht="14.25" spans="1:5">
      <c r="A205" s="38">
        <v>159961</v>
      </c>
      <c r="B205" s="39">
        <v>2.1891</v>
      </c>
      <c r="C205" s="40">
        <v>0.0059</v>
      </c>
      <c r="D205" s="39">
        <v>2.188</v>
      </c>
      <c r="E205" s="41">
        <v>0.0005</v>
      </c>
    </row>
    <row r="206" ht="14.25" spans="1:5">
      <c r="A206" s="38">
        <v>515690</v>
      </c>
      <c r="B206" s="39">
        <v>1.2306</v>
      </c>
      <c r="C206" s="40">
        <v>0.0059</v>
      </c>
      <c r="D206" s="39">
        <v>1.231</v>
      </c>
      <c r="E206" s="41">
        <v>-0.0003</v>
      </c>
    </row>
    <row r="207" ht="14.25" spans="1:5">
      <c r="A207" s="38">
        <v>515090</v>
      </c>
      <c r="B207" s="39">
        <v>1.3083</v>
      </c>
      <c r="C207" s="40">
        <v>0.0059</v>
      </c>
      <c r="D207" s="39">
        <v>1.308</v>
      </c>
      <c r="E207" s="41">
        <v>0.0002</v>
      </c>
    </row>
    <row r="208" ht="14.25" spans="1:5">
      <c r="A208" s="38">
        <v>159913</v>
      </c>
      <c r="B208" s="39">
        <v>2.419</v>
      </c>
      <c r="C208" s="40">
        <v>0.0058</v>
      </c>
      <c r="D208" s="39">
        <v>2.459</v>
      </c>
      <c r="E208" s="41">
        <v>-0.0165</v>
      </c>
    </row>
    <row r="209" ht="14.25" spans="1:5">
      <c r="A209" s="38">
        <v>159923</v>
      </c>
      <c r="B209" s="39">
        <v>2.245</v>
      </c>
      <c r="C209" s="40">
        <v>0.0058</v>
      </c>
      <c r="D209" s="39">
        <v>2.232</v>
      </c>
      <c r="E209" s="41">
        <v>0.0058</v>
      </c>
    </row>
    <row r="210" ht="14.25" spans="1:5">
      <c r="A210" s="38">
        <v>512910</v>
      </c>
      <c r="B210" s="39">
        <v>1.4487</v>
      </c>
      <c r="C210" s="40">
        <v>0.0058</v>
      </c>
      <c r="D210" s="39">
        <v>1.45</v>
      </c>
      <c r="E210" s="41">
        <v>-0.0009</v>
      </c>
    </row>
    <row r="211" ht="14.25" spans="1:5">
      <c r="A211" s="38">
        <v>515670</v>
      </c>
      <c r="B211" s="39">
        <v>1.3105</v>
      </c>
      <c r="C211" s="40">
        <v>0.0058</v>
      </c>
      <c r="D211" s="39">
        <v>1.306</v>
      </c>
      <c r="E211" s="41">
        <v>0.0034</v>
      </c>
    </row>
    <row r="212" ht="14.25" spans="1:5">
      <c r="A212" s="38">
        <v>159901</v>
      </c>
      <c r="B212" s="39">
        <v>7.5402</v>
      </c>
      <c r="C212" s="40">
        <v>0.0057</v>
      </c>
      <c r="D212" s="39">
        <v>7.55</v>
      </c>
      <c r="E212" s="41">
        <v>-0.0013</v>
      </c>
    </row>
    <row r="213" ht="14.25" spans="1:5">
      <c r="A213" s="38">
        <v>159969</v>
      </c>
      <c r="B213" s="39">
        <v>1.6316</v>
      </c>
      <c r="C213" s="40">
        <v>0.0057</v>
      </c>
      <c r="D213" s="39">
        <v>1.632</v>
      </c>
      <c r="E213" s="41">
        <v>-0.0002</v>
      </c>
    </row>
    <row r="214" ht="14.25" spans="1:5">
      <c r="A214" s="38">
        <v>159970</v>
      </c>
      <c r="B214" s="39">
        <v>6.4515</v>
      </c>
      <c r="C214" s="40">
        <v>0.0057</v>
      </c>
      <c r="D214" s="39">
        <v>6.429</v>
      </c>
      <c r="E214" s="41">
        <v>0.0035</v>
      </c>
    </row>
    <row r="215" ht="14.25" spans="1:5">
      <c r="A215" s="38">
        <v>511380</v>
      </c>
      <c r="B215" s="39">
        <v>10.2491</v>
      </c>
      <c r="C215" s="40">
        <v>0.0056</v>
      </c>
      <c r="D215" s="39">
        <v>10.221</v>
      </c>
      <c r="E215" s="41">
        <v>0.0027</v>
      </c>
    </row>
    <row r="216" ht="14.25" spans="1:5">
      <c r="A216" s="38">
        <v>159916</v>
      </c>
      <c r="B216" s="39">
        <v>5.5794</v>
      </c>
      <c r="C216" s="40">
        <v>0.0052</v>
      </c>
      <c r="D216" s="39">
        <v>5.575</v>
      </c>
      <c r="E216" s="41">
        <v>0.0008</v>
      </c>
    </row>
    <row r="217" ht="14.25" spans="1:5">
      <c r="A217" s="38">
        <v>512270</v>
      </c>
      <c r="B217" s="39">
        <v>1.0877</v>
      </c>
      <c r="C217" s="40">
        <v>0.0051</v>
      </c>
      <c r="D217" s="39">
        <v>1.085</v>
      </c>
      <c r="E217" s="41">
        <v>0.0025</v>
      </c>
    </row>
    <row r="218" ht="14.25" spans="1:5">
      <c r="A218" s="38">
        <v>159978</v>
      </c>
      <c r="B218" s="39">
        <v>1.2699</v>
      </c>
      <c r="C218" s="40">
        <v>0.005</v>
      </c>
      <c r="D218" s="39">
        <v>1.261</v>
      </c>
      <c r="E218" s="41">
        <v>0.007</v>
      </c>
    </row>
    <row r="219" ht="14.25" spans="1:5">
      <c r="A219" s="38">
        <v>159980</v>
      </c>
      <c r="B219" s="39">
        <v>1.1774</v>
      </c>
      <c r="C219" s="40">
        <v>0.005</v>
      </c>
      <c r="D219" s="39">
        <v>1.183</v>
      </c>
      <c r="E219" s="41">
        <v>-0.0048</v>
      </c>
    </row>
    <row r="220" ht="14.25" spans="1:5">
      <c r="A220" s="38">
        <v>510110</v>
      </c>
      <c r="B220" s="39">
        <v>4.145</v>
      </c>
      <c r="C220" s="40">
        <v>0.0048</v>
      </c>
      <c r="D220" s="39">
        <v>4.132</v>
      </c>
      <c r="E220" s="41">
        <v>0.0031</v>
      </c>
    </row>
    <row r="221" ht="14.25" spans="1:5">
      <c r="A221" s="38">
        <v>159937</v>
      </c>
      <c r="B221" s="39">
        <v>3.8498</v>
      </c>
      <c r="C221" s="40">
        <v>0.0046</v>
      </c>
      <c r="D221" s="39">
        <v>3.851</v>
      </c>
      <c r="E221" s="41">
        <v>-0.0003</v>
      </c>
    </row>
    <row r="222" ht="14.25" spans="1:5">
      <c r="A222" s="38">
        <v>518880</v>
      </c>
      <c r="B222" s="39">
        <v>3.8502</v>
      </c>
      <c r="C222" s="40">
        <v>0.0046</v>
      </c>
      <c r="D222" s="39">
        <v>3.853</v>
      </c>
      <c r="E222" s="41">
        <v>-0.0007</v>
      </c>
    </row>
    <row r="223" ht="14.25" spans="1:5">
      <c r="A223" s="38">
        <v>512150</v>
      </c>
      <c r="B223" s="39">
        <v>1.7656</v>
      </c>
      <c r="C223" s="40">
        <v>0.0046</v>
      </c>
      <c r="D223" s="39">
        <v>1.762</v>
      </c>
      <c r="E223" s="41">
        <v>0.002</v>
      </c>
    </row>
    <row r="224" ht="14.25" spans="1:5">
      <c r="A224" s="38">
        <v>515650</v>
      </c>
      <c r="B224" s="39">
        <v>1.626</v>
      </c>
      <c r="C224" s="40">
        <v>0.0046</v>
      </c>
      <c r="D224" s="39">
        <v>1.626</v>
      </c>
      <c r="E224" s="41">
        <v>0</v>
      </c>
    </row>
    <row r="225" ht="14.25" spans="1:5">
      <c r="A225" s="38">
        <v>159934</v>
      </c>
      <c r="B225" s="39">
        <v>3.8193</v>
      </c>
      <c r="C225" s="40">
        <v>0.0045</v>
      </c>
      <c r="D225" s="39">
        <v>3.821</v>
      </c>
      <c r="E225" s="41">
        <v>-0.0004</v>
      </c>
    </row>
    <row r="226" ht="14.25" spans="1:5">
      <c r="A226" s="38">
        <v>518800</v>
      </c>
      <c r="B226" s="39">
        <v>3.8135</v>
      </c>
      <c r="C226" s="40">
        <v>0.0045</v>
      </c>
      <c r="D226" s="39">
        <v>3.814</v>
      </c>
      <c r="E226" s="41">
        <v>-0.0001</v>
      </c>
    </row>
    <row r="227" ht="14.25" spans="1:5">
      <c r="A227" s="38">
        <v>512530</v>
      </c>
      <c r="B227" s="39">
        <v>1.1507</v>
      </c>
      <c r="C227" s="40">
        <v>0.0045</v>
      </c>
      <c r="D227" s="39">
        <v>1.151</v>
      </c>
      <c r="E227" s="41">
        <v>-0.0003</v>
      </c>
    </row>
    <row r="228" ht="14.25" spans="1:5">
      <c r="A228" s="38">
        <v>518850</v>
      </c>
      <c r="B228" s="39">
        <v>3.9033</v>
      </c>
      <c r="C228" s="40">
        <v>0.0045</v>
      </c>
      <c r="D228" s="39">
        <v>3.905</v>
      </c>
      <c r="E228" s="41">
        <v>-0.0004</v>
      </c>
    </row>
    <row r="229" ht="14.25" spans="1:5">
      <c r="A229" s="38">
        <v>518660</v>
      </c>
      <c r="B229" s="39">
        <v>3.9014</v>
      </c>
      <c r="C229" s="40">
        <v>0.0045</v>
      </c>
      <c r="D229" s="39">
        <v>3.906</v>
      </c>
      <c r="E229" s="41">
        <v>-0.0012</v>
      </c>
    </row>
    <row r="230" ht="14.25" spans="1:5">
      <c r="A230" s="38">
        <v>159812</v>
      </c>
      <c r="B230" s="39">
        <v>3.9009</v>
      </c>
      <c r="C230" s="40">
        <v>0.0045</v>
      </c>
      <c r="D230" s="39">
        <v>3.906</v>
      </c>
      <c r="E230" s="41">
        <v>-0.0013</v>
      </c>
    </row>
    <row r="231" ht="14.25" spans="1:5">
      <c r="A231" s="38">
        <v>515630</v>
      </c>
      <c r="B231" s="39">
        <v>1.2515</v>
      </c>
      <c r="C231" s="40">
        <v>0.0043</v>
      </c>
      <c r="D231" s="39">
        <v>1.254</v>
      </c>
      <c r="E231" s="41">
        <v>-0.002</v>
      </c>
    </row>
    <row r="232" ht="14.25" spans="1:5">
      <c r="A232" s="38">
        <v>511180</v>
      </c>
      <c r="B232" s="39">
        <v>10.0049</v>
      </c>
      <c r="C232" s="40">
        <v>0.0043</v>
      </c>
      <c r="D232" s="39">
        <v>9.984</v>
      </c>
      <c r="E232" s="41">
        <v>0.0021</v>
      </c>
    </row>
    <row r="233" ht="14.25" spans="1:5">
      <c r="A233" s="38">
        <v>512550</v>
      </c>
      <c r="B233" s="39">
        <v>1.6939</v>
      </c>
      <c r="C233" s="40">
        <v>0.0042</v>
      </c>
      <c r="D233" s="39">
        <v>1.696</v>
      </c>
      <c r="E233" s="41">
        <v>-0.0012</v>
      </c>
    </row>
    <row r="234" ht="14.25" spans="1:5">
      <c r="A234" s="38">
        <v>518680</v>
      </c>
      <c r="B234" s="39">
        <v>3.9057</v>
      </c>
      <c r="C234" s="40">
        <v>0.0042</v>
      </c>
      <c r="D234" s="39">
        <v>3.906</v>
      </c>
      <c r="E234" s="41">
        <v>-0.0001</v>
      </c>
    </row>
    <row r="235" ht="14.25" spans="1:5">
      <c r="A235" s="38">
        <v>518600</v>
      </c>
      <c r="B235" s="39">
        <v>3.9074</v>
      </c>
      <c r="C235" s="40">
        <v>0.0042</v>
      </c>
      <c r="D235" s="39">
        <v>3.861</v>
      </c>
      <c r="E235" s="41">
        <v>0.0119</v>
      </c>
    </row>
    <row r="236" ht="14.25" spans="1:5">
      <c r="A236" s="38">
        <v>518890</v>
      </c>
      <c r="B236" s="39">
        <v>3.9367</v>
      </c>
      <c r="C236" s="40">
        <v>0.0042</v>
      </c>
      <c r="D236" s="39">
        <v>3.938</v>
      </c>
      <c r="E236" s="41">
        <v>-0.0003</v>
      </c>
    </row>
    <row r="237" ht="14.25" spans="1:5">
      <c r="A237" s="38">
        <v>510880</v>
      </c>
      <c r="B237" s="39">
        <v>2.7577</v>
      </c>
      <c r="C237" s="40">
        <v>0.0041</v>
      </c>
      <c r="D237" s="39">
        <v>2.761</v>
      </c>
      <c r="E237" s="41">
        <v>-0.0012</v>
      </c>
    </row>
    <row r="238" ht="14.25" spans="1:5">
      <c r="A238" s="38">
        <v>159996</v>
      </c>
      <c r="B238" s="39">
        <v>1.3548</v>
      </c>
      <c r="C238" s="40">
        <v>0.0041</v>
      </c>
      <c r="D238" s="39">
        <v>1.356</v>
      </c>
      <c r="E238" s="41">
        <v>-0.0009</v>
      </c>
    </row>
    <row r="239" ht="14.25" spans="1:5">
      <c r="A239" s="38">
        <v>518860</v>
      </c>
      <c r="B239" s="39">
        <v>3.9097</v>
      </c>
      <c r="C239" s="40">
        <v>0.0041</v>
      </c>
      <c r="D239" s="39">
        <v>3.938</v>
      </c>
      <c r="E239" s="41">
        <v>-0.0072</v>
      </c>
    </row>
    <row r="240" ht="14.25" spans="1:5">
      <c r="A240" s="38">
        <v>515750</v>
      </c>
      <c r="B240" s="39">
        <v>1.4391</v>
      </c>
      <c r="C240" s="40">
        <v>0.0038</v>
      </c>
      <c r="D240" s="39">
        <v>1.437</v>
      </c>
      <c r="E240" s="41">
        <v>0.0015</v>
      </c>
    </row>
    <row r="241" ht="14.25" spans="1:5">
      <c r="A241" s="38">
        <v>510030</v>
      </c>
      <c r="B241" s="39">
        <v>6.175</v>
      </c>
      <c r="C241" s="40">
        <v>0.0037</v>
      </c>
      <c r="D241" s="39">
        <v>6.186</v>
      </c>
      <c r="E241" s="41">
        <v>-0.0018</v>
      </c>
    </row>
    <row r="242" ht="14.25" spans="1:5">
      <c r="A242" s="38">
        <v>515860</v>
      </c>
      <c r="B242" s="39">
        <v>1.4094</v>
      </c>
      <c r="C242" s="40">
        <v>0.0037</v>
      </c>
      <c r="D242" s="39">
        <v>1.407</v>
      </c>
      <c r="E242" s="41">
        <v>0.0017</v>
      </c>
    </row>
    <row r="243" ht="14.25" spans="1:5">
      <c r="A243" s="38">
        <v>159809</v>
      </c>
      <c r="B243" s="39">
        <v>1.2167</v>
      </c>
      <c r="C243" s="40">
        <v>0.0034</v>
      </c>
      <c r="D243" s="39">
        <v>1.213</v>
      </c>
      <c r="E243" s="41">
        <v>0.003</v>
      </c>
    </row>
    <row r="244" ht="14.25" spans="1:5">
      <c r="A244" s="38">
        <v>512600</v>
      </c>
      <c r="B244" s="39">
        <v>4.9592</v>
      </c>
      <c r="C244" s="40">
        <v>0.0033</v>
      </c>
      <c r="D244" s="39">
        <v>4.964</v>
      </c>
      <c r="E244" s="41">
        <v>-0.001</v>
      </c>
    </row>
    <row r="245" ht="14.25" spans="1:5">
      <c r="A245" s="38">
        <v>159928</v>
      </c>
      <c r="B245" s="39">
        <v>4.9744</v>
      </c>
      <c r="C245" s="40">
        <v>0.0032</v>
      </c>
      <c r="D245" s="39">
        <v>4.974</v>
      </c>
      <c r="E245" s="41">
        <v>0.0001</v>
      </c>
    </row>
    <row r="246" ht="14.25" spans="1:5">
      <c r="A246" s="38">
        <v>511310</v>
      </c>
      <c r="B246" s="39">
        <v>110.8982</v>
      </c>
      <c r="C246" s="40">
        <v>0.0028</v>
      </c>
      <c r="D246" s="39">
        <v>109.98</v>
      </c>
      <c r="E246" s="41">
        <v>0.0083</v>
      </c>
    </row>
    <row r="247" ht="14.25" spans="1:5">
      <c r="A247" s="38">
        <v>159940</v>
      </c>
      <c r="B247" s="39">
        <v>1.0877</v>
      </c>
      <c r="C247" s="40">
        <v>0.0025</v>
      </c>
      <c r="D247" s="39">
        <v>1.089</v>
      </c>
      <c r="E247" s="41">
        <v>-0.0012</v>
      </c>
    </row>
    <row r="248" ht="14.25" spans="1:5">
      <c r="A248" s="38">
        <v>159936</v>
      </c>
      <c r="B248" s="39">
        <v>1.9299</v>
      </c>
      <c r="C248" s="40">
        <v>0.0022</v>
      </c>
      <c r="D248" s="39">
        <v>1.921</v>
      </c>
      <c r="E248" s="41">
        <v>0.0046</v>
      </c>
    </row>
    <row r="249" ht="14.25" spans="1:5">
      <c r="A249" s="38">
        <v>511260</v>
      </c>
      <c r="B249" s="39">
        <v>110.34</v>
      </c>
      <c r="C249" s="40">
        <v>0.0022</v>
      </c>
      <c r="D249" s="39">
        <v>109.976</v>
      </c>
      <c r="E249" s="41">
        <v>0.0033</v>
      </c>
    </row>
    <row r="250" ht="14.25" spans="1:5">
      <c r="A250" s="38">
        <v>159965</v>
      </c>
      <c r="B250" s="39">
        <v>1.4712</v>
      </c>
      <c r="C250" s="40">
        <v>0.0022</v>
      </c>
      <c r="D250" s="39">
        <v>1.459</v>
      </c>
      <c r="E250" s="41">
        <v>0.0083</v>
      </c>
    </row>
    <row r="251" ht="14.25" spans="1:5">
      <c r="A251" s="38">
        <v>511020</v>
      </c>
      <c r="B251" s="39">
        <v>103.9815</v>
      </c>
      <c r="C251" s="40">
        <v>0.002</v>
      </c>
      <c r="D251" s="39">
        <v>103.72</v>
      </c>
      <c r="E251" s="41">
        <v>0.0025</v>
      </c>
    </row>
    <row r="252" ht="14.25" spans="1:5">
      <c r="A252" s="38">
        <v>159933</v>
      </c>
      <c r="B252" s="39">
        <v>2.4666</v>
      </c>
      <c r="C252" s="40">
        <v>0.0018</v>
      </c>
      <c r="D252" s="39">
        <v>2.471</v>
      </c>
      <c r="E252" s="41">
        <v>-0.0018</v>
      </c>
    </row>
    <row r="253" ht="14.25" spans="1:5">
      <c r="A253" s="38">
        <v>512200</v>
      </c>
      <c r="B253" s="39">
        <v>0.8485</v>
      </c>
      <c r="C253" s="40">
        <v>0.0018</v>
      </c>
      <c r="D253" s="39">
        <v>0.847</v>
      </c>
      <c r="E253" s="41">
        <v>0.0018</v>
      </c>
    </row>
    <row r="254" ht="14.25" spans="1:5">
      <c r="A254" s="38">
        <v>512640</v>
      </c>
      <c r="B254" s="39">
        <v>2.1314</v>
      </c>
      <c r="C254" s="40">
        <v>0.0017</v>
      </c>
      <c r="D254" s="39">
        <v>2.128</v>
      </c>
      <c r="E254" s="41">
        <v>0.0016</v>
      </c>
    </row>
    <row r="255" ht="14.25" spans="1:5">
      <c r="A255" s="38">
        <v>159951</v>
      </c>
      <c r="B255" s="39">
        <v>0.9617</v>
      </c>
      <c r="C255" s="40">
        <v>0.0017</v>
      </c>
      <c r="D255" s="39">
        <v>0.957</v>
      </c>
      <c r="E255" s="41">
        <v>0.0049</v>
      </c>
    </row>
    <row r="256" ht="14.25" spans="1:5">
      <c r="A256" s="38">
        <v>515060</v>
      </c>
      <c r="B256" s="39">
        <v>0.959</v>
      </c>
      <c r="C256" s="40">
        <v>0.0016</v>
      </c>
      <c r="D256" s="39">
        <v>0.96</v>
      </c>
      <c r="E256" s="41">
        <v>-0.001</v>
      </c>
    </row>
    <row r="257" ht="14.25" spans="1:5">
      <c r="A257" s="38">
        <v>515020</v>
      </c>
      <c r="B257" s="39">
        <v>1.0944</v>
      </c>
      <c r="C257" s="40">
        <v>0.0016</v>
      </c>
      <c r="D257" s="39">
        <v>1.095</v>
      </c>
      <c r="E257" s="41">
        <v>-0.0005</v>
      </c>
    </row>
    <row r="258" ht="14.25" spans="1:5">
      <c r="A258" s="38">
        <v>515280</v>
      </c>
      <c r="B258" s="39">
        <v>1.1536</v>
      </c>
      <c r="C258" s="40">
        <v>0.0016</v>
      </c>
      <c r="D258" s="39">
        <v>1.155</v>
      </c>
      <c r="E258" s="41">
        <v>-0.0012</v>
      </c>
    </row>
    <row r="259" ht="14.25" spans="1:5">
      <c r="A259" s="38">
        <v>159931</v>
      </c>
      <c r="B259" s="39">
        <v>1.7773</v>
      </c>
      <c r="C259" s="40">
        <v>0.0015</v>
      </c>
      <c r="D259" s="39">
        <v>1.781</v>
      </c>
      <c r="E259" s="41">
        <v>-0.0021</v>
      </c>
    </row>
    <row r="260" ht="14.25" spans="1:5">
      <c r="A260" s="38">
        <v>512700</v>
      </c>
      <c r="B260" s="39">
        <v>1.1674</v>
      </c>
      <c r="C260" s="40">
        <v>0.0015</v>
      </c>
      <c r="D260" s="39">
        <v>1.167</v>
      </c>
      <c r="E260" s="41">
        <v>0.0003</v>
      </c>
    </row>
    <row r="261" ht="14.25" spans="1:5">
      <c r="A261" s="38">
        <v>159926</v>
      </c>
      <c r="B261" s="39">
        <v>113.912</v>
      </c>
      <c r="C261" s="40">
        <v>0.0014</v>
      </c>
      <c r="D261" s="39">
        <v>113</v>
      </c>
      <c r="E261" s="41">
        <v>0.008</v>
      </c>
    </row>
    <row r="262" ht="14.25" spans="1:5">
      <c r="A262" s="38">
        <v>512800</v>
      </c>
      <c r="B262" s="39">
        <v>1.1171</v>
      </c>
      <c r="C262" s="40">
        <v>0.0014</v>
      </c>
      <c r="D262" s="39">
        <v>1.117</v>
      </c>
      <c r="E262" s="41">
        <v>0.0001</v>
      </c>
    </row>
    <row r="263" ht="14.25" spans="1:5">
      <c r="A263" s="38">
        <v>512730</v>
      </c>
      <c r="B263" s="39">
        <v>1.0706</v>
      </c>
      <c r="C263" s="40">
        <v>0.0014</v>
      </c>
      <c r="D263" s="39">
        <v>1.071</v>
      </c>
      <c r="E263" s="41">
        <v>-0.0004</v>
      </c>
    </row>
    <row r="264" ht="14.25" spans="1:5">
      <c r="A264" s="38">
        <v>588050</v>
      </c>
      <c r="B264" s="39">
        <v>1.3804</v>
      </c>
      <c r="C264" s="40">
        <v>0.0014</v>
      </c>
      <c r="D264" s="39">
        <v>1.383</v>
      </c>
      <c r="E264" s="41">
        <v>-0.0019</v>
      </c>
    </row>
    <row r="265" ht="14.25" spans="1:5">
      <c r="A265" s="38">
        <v>588090</v>
      </c>
      <c r="B265" s="39">
        <v>1.3946</v>
      </c>
      <c r="C265" s="40">
        <v>0.0014</v>
      </c>
      <c r="D265" s="39">
        <v>1.396</v>
      </c>
      <c r="E265" s="41">
        <v>-0.001</v>
      </c>
    </row>
    <row r="266" ht="14.25" spans="1:5">
      <c r="A266" s="38">
        <v>511010</v>
      </c>
      <c r="B266" s="39">
        <v>121.488</v>
      </c>
      <c r="C266" s="40">
        <v>0.0013</v>
      </c>
      <c r="D266" s="39">
        <v>121.251</v>
      </c>
      <c r="E266" s="41">
        <v>0.002</v>
      </c>
    </row>
    <row r="267" ht="14.25" spans="1:5">
      <c r="A267" s="38">
        <v>512820</v>
      </c>
      <c r="B267" s="39">
        <v>1.1347</v>
      </c>
      <c r="C267" s="40">
        <v>0.0013</v>
      </c>
      <c r="D267" s="39">
        <v>1.135</v>
      </c>
      <c r="E267" s="41">
        <v>-0.0003</v>
      </c>
    </row>
    <row r="268" ht="14.25" spans="1:5">
      <c r="A268" s="38">
        <v>588000</v>
      </c>
      <c r="B268" s="39">
        <v>1.3915</v>
      </c>
      <c r="C268" s="40">
        <v>0.0013</v>
      </c>
      <c r="D268" s="39">
        <v>1.394</v>
      </c>
      <c r="E268" s="41">
        <v>-0.0018</v>
      </c>
    </row>
    <row r="269" ht="14.25" spans="1:5">
      <c r="A269" s="38">
        <v>588080</v>
      </c>
      <c r="B269" s="39">
        <v>1.379</v>
      </c>
      <c r="C269" s="40">
        <v>0.0013</v>
      </c>
      <c r="D269" s="39">
        <v>1.382</v>
      </c>
      <c r="E269" s="41">
        <v>-0.0022</v>
      </c>
    </row>
    <row r="270" ht="14.25" spans="1:5">
      <c r="A270" s="38">
        <v>511270</v>
      </c>
      <c r="B270" s="39">
        <v>105.2758</v>
      </c>
      <c r="C270" s="40">
        <v>0.0012</v>
      </c>
      <c r="D270" s="39">
        <v>105.23</v>
      </c>
      <c r="E270" s="41">
        <v>0.0004</v>
      </c>
    </row>
    <row r="271" ht="14.25" spans="1:5">
      <c r="A271" s="38">
        <v>510230</v>
      </c>
      <c r="B271" s="39">
        <v>1.1352</v>
      </c>
      <c r="C271" s="40">
        <v>0.001</v>
      </c>
      <c r="D271" s="39">
        <v>1.137</v>
      </c>
      <c r="E271" s="41">
        <v>-0.0016</v>
      </c>
    </row>
    <row r="272" ht="14.25" spans="1:5">
      <c r="A272" s="38">
        <v>512750</v>
      </c>
      <c r="B272" s="39">
        <v>1.1017</v>
      </c>
      <c r="C272" s="40">
        <v>0.001</v>
      </c>
      <c r="D272" s="39">
        <v>1.103</v>
      </c>
      <c r="E272" s="41">
        <v>-0.0012</v>
      </c>
    </row>
    <row r="273" ht="14.25" spans="1:5">
      <c r="A273" s="38">
        <v>510690</v>
      </c>
      <c r="B273" s="39">
        <v>1.1221</v>
      </c>
      <c r="C273" s="40">
        <v>0.001</v>
      </c>
      <c r="D273" s="39">
        <v>1.114</v>
      </c>
      <c r="E273" s="41">
        <v>0.0072</v>
      </c>
    </row>
    <row r="274" ht="14.25" spans="1:5">
      <c r="A274" s="38">
        <v>159909</v>
      </c>
      <c r="B274" s="39">
        <v>7.0001</v>
      </c>
      <c r="C274" s="40">
        <v>0.0009</v>
      </c>
      <c r="D274" s="39">
        <v>6.98</v>
      </c>
      <c r="E274" s="41">
        <v>0.0029</v>
      </c>
    </row>
    <row r="275" ht="14.25" spans="1:5">
      <c r="A275" s="38">
        <v>511050</v>
      </c>
      <c r="B275" s="39">
        <v>100.0046</v>
      </c>
      <c r="C275" s="40">
        <v>0.0009</v>
      </c>
      <c r="D275" s="39">
        <v>96.56</v>
      </c>
      <c r="E275" s="41">
        <v>0.0344</v>
      </c>
    </row>
    <row r="276" ht="14.25" spans="1:5">
      <c r="A276" s="38">
        <v>511060</v>
      </c>
      <c r="B276" s="39">
        <v>101.0414</v>
      </c>
      <c r="C276" s="40">
        <v>0.0009</v>
      </c>
      <c r="D276" s="39">
        <v>101.1</v>
      </c>
      <c r="E276" s="41">
        <v>-0.0006</v>
      </c>
    </row>
    <row r="277" ht="14.25" spans="1:5">
      <c r="A277" s="38">
        <v>510810</v>
      </c>
      <c r="B277" s="39">
        <v>0.9148</v>
      </c>
      <c r="C277" s="40">
        <v>0.0008</v>
      </c>
      <c r="D277" s="39">
        <v>0.917</v>
      </c>
      <c r="E277" s="41">
        <v>-0.0024</v>
      </c>
    </row>
    <row r="278" ht="14.25" spans="1:5">
      <c r="A278" s="38">
        <v>159905</v>
      </c>
      <c r="B278" s="39">
        <v>2.6399</v>
      </c>
      <c r="C278" s="40">
        <v>0.0007</v>
      </c>
      <c r="D278" s="39">
        <v>2.638</v>
      </c>
      <c r="E278" s="41">
        <v>0.0007</v>
      </c>
    </row>
    <row r="279" ht="14.25" spans="1:5">
      <c r="A279" s="38">
        <v>159972</v>
      </c>
      <c r="B279" s="39">
        <v>104.1189</v>
      </c>
      <c r="C279" s="40">
        <v>0.0007</v>
      </c>
      <c r="D279" s="39">
        <v>103.681</v>
      </c>
      <c r="E279" s="41">
        <v>0.0042</v>
      </c>
    </row>
    <row r="280" ht="14.25" spans="1:5">
      <c r="A280" s="38">
        <v>511000</v>
      </c>
      <c r="B280" s="39">
        <v>100.7633</v>
      </c>
      <c r="C280" s="40">
        <v>0.0007</v>
      </c>
      <c r="D280" s="39">
        <v>99.999</v>
      </c>
      <c r="E280" s="41">
        <v>0.0076</v>
      </c>
    </row>
    <row r="281" ht="14.25" spans="1:5">
      <c r="A281" s="38">
        <v>510090</v>
      </c>
      <c r="B281" s="39">
        <v>2.3434</v>
      </c>
      <c r="C281" s="40">
        <v>0.0006</v>
      </c>
      <c r="D281" s="39">
        <v>2.356</v>
      </c>
      <c r="E281" s="41">
        <v>-0.0054</v>
      </c>
    </row>
    <row r="282" ht="14.25" spans="1:5">
      <c r="A282" s="38">
        <v>159981</v>
      </c>
      <c r="B282" s="39">
        <v>1.0189</v>
      </c>
      <c r="C282" s="40">
        <v>0.0006</v>
      </c>
      <c r="D282" s="39">
        <v>1.014</v>
      </c>
      <c r="E282" s="41">
        <v>0.0048</v>
      </c>
    </row>
    <row r="283" ht="14.25" spans="1:5">
      <c r="A283" s="38">
        <v>159988</v>
      </c>
      <c r="B283" s="39">
        <v>1.0026</v>
      </c>
      <c r="C283" s="40">
        <v>0.0006</v>
      </c>
      <c r="D283" s="39">
        <v>0.998</v>
      </c>
      <c r="E283" s="41">
        <v>0.0046</v>
      </c>
    </row>
    <row r="284" ht="14.25" spans="1:5">
      <c r="A284" s="38">
        <v>511280</v>
      </c>
      <c r="B284" s="39">
        <v>110.5999</v>
      </c>
      <c r="C284" s="40">
        <v>0.0004</v>
      </c>
      <c r="D284" s="39">
        <v>110</v>
      </c>
      <c r="E284" s="41">
        <v>0.0054</v>
      </c>
    </row>
    <row r="285" ht="14.25" spans="1:5">
      <c r="A285" s="38">
        <v>159816</v>
      </c>
      <c r="B285" s="39">
        <v>100.3716</v>
      </c>
      <c r="C285" s="40">
        <v>0.0004</v>
      </c>
      <c r="D285" s="39">
        <v>100.11</v>
      </c>
      <c r="E285" s="41">
        <v>0.0026</v>
      </c>
    </row>
    <row r="286" ht="14.25" spans="1:5">
      <c r="A286" s="38">
        <v>512070</v>
      </c>
      <c r="B286" s="39">
        <v>2.4926</v>
      </c>
      <c r="C286" s="40">
        <v>0.0003</v>
      </c>
      <c r="D286" s="39">
        <v>2.499</v>
      </c>
      <c r="E286" s="41">
        <v>-0.0026</v>
      </c>
    </row>
    <row r="287" ht="14.25" spans="1:5">
      <c r="A287" s="38">
        <v>511220</v>
      </c>
      <c r="B287" s="39">
        <v>97.096</v>
      </c>
      <c r="C287" s="40">
        <v>0.0002</v>
      </c>
      <c r="D287" s="39">
        <v>95.64</v>
      </c>
      <c r="E287" s="41">
        <v>0.015</v>
      </c>
    </row>
    <row r="288" ht="14.25" spans="1:5">
      <c r="A288" s="38">
        <v>515570</v>
      </c>
      <c r="B288" s="39">
        <v>1.3077</v>
      </c>
      <c r="C288" s="40">
        <v>0.0002</v>
      </c>
      <c r="D288" s="39">
        <v>1.307</v>
      </c>
      <c r="E288" s="41">
        <v>0.0005</v>
      </c>
    </row>
    <row r="289" ht="14.25" spans="1:5">
      <c r="A289" s="38">
        <v>511030</v>
      </c>
      <c r="B289" s="39">
        <v>102.3526</v>
      </c>
      <c r="C289" s="40">
        <v>0.0001</v>
      </c>
      <c r="D289" s="39">
        <v>101.9</v>
      </c>
      <c r="E289" s="41">
        <v>0.0044</v>
      </c>
    </row>
    <row r="290" ht="14.25" spans="1:5">
      <c r="A290" s="38">
        <v>515880</v>
      </c>
      <c r="B290" s="39">
        <v>1.0119</v>
      </c>
      <c r="C290" s="40">
        <v>0.0001</v>
      </c>
      <c r="D290" s="39">
        <v>1.013</v>
      </c>
      <c r="E290" s="41">
        <v>-0.0011</v>
      </c>
    </row>
    <row r="291" ht="14.25" spans="1:5">
      <c r="A291" s="38">
        <v>511360</v>
      </c>
      <c r="B291" s="39">
        <v>100.9968</v>
      </c>
      <c r="C291" s="40">
        <v>0.0001</v>
      </c>
      <c r="D291" s="39">
        <v>100.984</v>
      </c>
      <c r="E291" s="41">
        <v>0.0001</v>
      </c>
    </row>
    <row r="292" ht="14.25" spans="1:5">
      <c r="A292" s="38">
        <v>510650</v>
      </c>
      <c r="B292" s="39">
        <v>2.0643</v>
      </c>
      <c r="C292" s="42">
        <v>-0.0004</v>
      </c>
      <c r="D292" s="39">
        <v>2.061</v>
      </c>
      <c r="E292" s="41">
        <v>0.0016</v>
      </c>
    </row>
    <row r="293" ht="14.25" spans="1:5">
      <c r="A293" s="38">
        <v>513680</v>
      </c>
      <c r="B293" s="39">
        <v>0.9303</v>
      </c>
      <c r="C293" s="42">
        <v>-0.0004</v>
      </c>
      <c r="D293" s="39">
        <v>0.921</v>
      </c>
      <c r="E293" s="41">
        <v>0.01</v>
      </c>
    </row>
    <row r="294" ht="14.25" spans="1:5">
      <c r="A294" s="38">
        <v>513090</v>
      </c>
      <c r="B294" s="39">
        <v>1.1672</v>
      </c>
      <c r="C294" s="42">
        <v>-0.0004</v>
      </c>
      <c r="D294" s="39">
        <v>1.168</v>
      </c>
      <c r="E294" s="41">
        <v>-0.0007</v>
      </c>
    </row>
    <row r="295" ht="14.25" spans="1:5">
      <c r="A295" s="38">
        <v>159960</v>
      </c>
      <c r="B295" s="39">
        <v>0.9886</v>
      </c>
      <c r="C295" s="42">
        <v>-0.0005</v>
      </c>
      <c r="D295" s="39">
        <v>0.978</v>
      </c>
      <c r="E295" s="41">
        <v>0.0107</v>
      </c>
    </row>
    <row r="296" ht="14.25" spans="1:5">
      <c r="A296" s="38">
        <v>159963</v>
      </c>
      <c r="B296" s="39">
        <v>0.9495</v>
      </c>
      <c r="C296" s="42">
        <v>-0.0005</v>
      </c>
      <c r="D296" s="39">
        <v>0.944</v>
      </c>
      <c r="E296" s="41">
        <v>0.0058</v>
      </c>
    </row>
    <row r="297" ht="14.25" spans="1:5">
      <c r="A297" s="38">
        <v>513900</v>
      </c>
      <c r="B297" s="39">
        <v>1.088</v>
      </c>
      <c r="C297" s="42">
        <v>-0.0005</v>
      </c>
      <c r="D297" s="39">
        <v>1.088</v>
      </c>
      <c r="E297" s="41">
        <v>0</v>
      </c>
    </row>
    <row r="298" ht="14.25" spans="1:5">
      <c r="A298" s="38">
        <v>513990</v>
      </c>
      <c r="B298" s="39">
        <v>1.0186</v>
      </c>
      <c r="C298" s="42">
        <v>-0.0005</v>
      </c>
      <c r="D298" s="39">
        <v>1.013</v>
      </c>
      <c r="E298" s="41">
        <v>0.0055</v>
      </c>
    </row>
    <row r="299" ht="14.25" spans="1:5">
      <c r="A299" s="38">
        <v>159939</v>
      </c>
      <c r="B299" s="39">
        <v>1.3518</v>
      </c>
      <c r="C299" s="42">
        <v>-0.0007</v>
      </c>
      <c r="D299" s="39">
        <v>1.352</v>
      </c>
      <c r="E299" s="41">
        <v>-0.0001</v>
      </c>
    </row>
    <row r="300" ht="14.25" spans="1:5">
      <c r="A300" s="38">
        <v>512720</v>
      </c>
      <c r="B300" s="39">
        <v>1.3484</v>
      </c>
      <c r="C300" s="42">
        <v>-0.0007</v>
      </c>
      <c r="D300" s="39">
        <v>1.351</v>
      </c>
      <c r="E300" s="41">
        <v>-0.0019</v>
      </c>
    </row>
    <row r="301" ht="14.25" spans="1:5">
      <c r="A301" s="38">
        <v>159998</v>
      </c>
      <c r="B301" s="39">
        <v>1.0451</v>
      </c>
      <c r="C301" s="42">
        <v>-0.0008</v>
      </c>
      <c r="D301" s="39">
        <v>1.046</v>
      </c>
      <c r="E301" s="41">
        <v>-0.0009</v>
      </c>
    </row>
    <row r="302" ht="14.25" spans="1:5">
      <c r="A302" s="38">
        <v>159997</v>
      </c>
      <c r="B302" s="39">
        <v>1.2117</v>
      </c>
      <c r="C302" s="42">
        <v>-0.0015</v>
      </c>
      <c r="D302" s="39">
        <v>1.213</v>
      </c>
      <c r="E302" s="41">
        <v>-0.0011</v>
      </c>
    </row>
    <row r="303" ht="14.25" spans="1:5">
      <c r="A303" s="38">
        <v>512330</v>
      </c>
      <c r="B303" s="39">
        <v>1.0109</v>
      </c>
      <c r="C303" s="42">
        <v>-0.0022</v>
      </c>
      <c r="D303" s="39">
        <v>1.014</v>
      </c>
      <c r="E303" s="41">
        <v>-0.0031</v>
      </c>
    </row>
    <row r="304" ht="14.25" spans="1:5">
      <c r="A304" s="38">
        <v>512220</v>
      </c>
      <c r="B304" s="39">
        <v>1.6794</v>
      </c>
      <c r="C304" s="42">
        <v>-0.0026</v>
      </c>
      <c r="D304" s="39">
        <v>1.677</v>
      </c>
      <c r="E304" s="41">
        <v>0.0014</v>
      </c>
    </row>
    <row r="305" ht="14.25" spans="1:5">
      <c r="A305" s="38">
        <v>512690</v>
      </c>
      <c r="B305" s="39">
        <v>2.4933</v>
      </c>
      <c r="C305" s="42">
        <v>-0.0026</v>
      </c>
      <c r="D305" s="39">
        <v>2.489</v>
      </c>
      <c r="E305" s="41">
        <v>0.0017</v>
      </c>
    </row>
    <row r="306" ht="14.25" spans="1:5">
      <c r="A306" s="38">
        <v>515050</v>
      </c>
      <c r="B306" s="39">
        <v>1.166</v>
      </c>
      <c r="C306" s="42">
        <v>-0.0029</v>
      </c>
      <c r="D306" s="39">
        <v>1.167</v>
      </c>
      <c r="E306" s="41">
        <v>-0.0009</v>
      </c>
    </row>
    <row r="307" ht="14.25" spans="1:5">
      <c r="A307" s="38">
        <v>159994</v>
      </c>
      <c r="B307" s="39">
        <v>0.9639</v>
      </c>
      <c r="C307" s="42">
        <v>-0.0029</v>
      </c>
      <c r="D307" s="39">
        <v>0.965</v>
      </c>
      <c r="E307" s="41">
        <v>-0.0011</v>
      </c>
    </row>
    <row r="308" ht="14.25" spans="1:5">
      <c r="A308" s="38">
        <v>512930</v>
      </c>
      <c r="B308" s="39">
        <v>1.4392</v>
      </c>
      <c r="C308" s="42">
        <v>-0.0035</v>
      </c>
      <c r="D308" s="39">
        <v>1.441</v>
      </c>
      <c r="E308" s="41">
        <v>-0.0013</v>
      </c>
    </row>
    <row r="309" ht="14.25" spans="1:5">
      <c r="A309" s="38">
        <v>515260</v>
      </c>
      <c r="B309" s="39">
        <v>0.9803</v>
      </c>
      <c r="C309" s="42">
        <v>-0.0036</v>
      </c>
      <c r="D309" s="39">
        <v>0.982</v>
      </c>
      <c r="E309" s="41">
        <v>-0.0017</v>
      </c>
    </row>
    <row r="310" ht="14.25" spans="1:5">
      <c r="A310" s="38">
        <v>515980</v>
      </c>
      <c r="B310" s="39">
        <v>1.058</v>
      </c>
      <c r="C310" s="42">
        <v>-0.0036</v>
      </c>
      <c r="D310" s="39">
        <v>1.06</v>
      </c>
      <c r="E310" s="41">
        <v>-0.0019</v>
      </c>
    </row>
    <row r="311" ht="14.25" spans="1:5">
      <c r="A311" s="38">
        <v>515070</v>
      </c>
      <c r="B311" s="39">
        <v>1.1582</v>
      </c>
      <c r="C311" s="42">
        <v>-0.0036</v>
      </c>
      <c r="D311" s="39">
        <v>1.159</v>
      </c>
      <c r="E311" s="41">
        <v>-0.0007</v>
      </c>
    </row>
    <row r="312" ht="14.25" spans="1:5">
      <c r="A312" s="38">
        <v>159819</v>
      </c>
      <c r="B312" s="39">
        <v>0.9138</v>
      </c>
      <c r="C312" s="42">
        <v>-0.0037</v>
      </c>
      <c r="D312" s="39">
        <v>0.916</v>
      </c>
      <c r="E312" s="41">
        <v>-0.0024</v>
      </c>
    </row>
    <row r="313" ht="14.25" spans="1:5">
      <c r="A313" s="38">
        <v>159811</v>
      </c>
      <c r="B313" s="39">
        <v>1.124</v>
      </c>
      <c r="C313" s="42">
        <v>-0.0061</v>
      </c>
      <c r="D313" s="39">
        <v>1.123</v>
      </c>
      <c r="E313" s="41">
        <v>0.0009</v>
      </c>
    </row>
    <row r="314" ht="14.25" spans="1:5">
      <c r="A314" s="38">
        <v>159813</v>
      </c>
      <c r="B314" s="39">
        <v>1.1061</v>
      </c>
      <c r="C314" s="42">
        <v>-0.0074</v>
      </c>
      <c r="D314" s="39">
        <v>1.108</v>
      </c>
      <c r="E314" s="41">
        <v>-0.0017</v>
      </c>
    </row>
    <row r="315" ht="14.25" spans="1:5">
      <c r="A315" s="38">
        <v>159801</v>
      </c>
      <c r="B315" s="39">
        <v>1.1854</v>
      </c>
      <c r="C315" s="42">
        <v>-0.0075</v>
      </c>
      <c r="D315" s="39">
        <v>1.186</v>
      </c>
      <c r="E315" s="41">
        <v>-0.0005</v>
      </c>
    </row>
    <row r="316" ht="14.25" spans="1:5">
      <c r="A316" s="38">
        <v>159995</v>
      </c>
      <c r="B316" s="39">
        <v>1.2003</v>
      </c>
      <c r="C316" s="42">
        <v>-0.0076</v>
      </c>
      <c r="D316" s="39">
        <v>1.201</v>
      </c>
      <c r="E316" s="41">
        <v>-0.0006</v>
      </c>
    </row>
    <row r="317" ht="14.25" spans="1:5">
      <c r="A317" s="38">
        <v>159985</v>
      </c>
      <c r="B317" s="39">
        <v>1.2062</v>
      </c>
      <c r="C317" s="42">
        <v>-0.0081</v>
      </c>
      <c r="D317" s="39">
        <v>1.206</v>
      </c>
      <c r="E317" s="41">
        <v>0.0002</v>
      </c>
    </row>
    <row r="318" ht="14.25" spans="1:5">
      <c r="A318" s="38">
        <v>159805</v>
      </c>
      <c r="B318" s="39">
        <v>1.0379</v>
      </c>
      <c r="C318" s="42">
        <v>-0.0096</v>
      </c>
      <c r="D318" s="39">
        <v>1.039</v>
      </c>
      <c r="E318" s="41">
        <v>-0.0011</v>
      </c>
    </row>
    <row r="319" ht="14.25" spans="1:5">
      <c r="A319" s="38">
        <v>512980</v>
      </c>
      <c r="B319" s="39">
        <v>0.8276</v>
      </c>
      <c r="C319" s="42">
        <v>-0.0105</v>
      </c>
      <c r="D319" s="39">
        <v>0.829</v>
      </c>
      <c r="E319" s="41">
        <v>-0.0017</v>
      </c>
    </row>
    <row r="320" ht="14.25" spans="1:5">
      <c r="A320" s="38">
        <v>512760</v>
      </c>
      <c r="B320" s="39">
        <v>1.1697</v>
      </c>
      <c r="C320" s="42">
        <v>-0.0106</v>
      </c>
      <c r="D320" s="39">
        <v>1.172</v>
      </c>
      <c r="E320" s="41">
        <v>-0.002</v>
      </c>
    </row>
  </sheetData>
  <pageMargins left="0.75" right="0.75" top="1" bottom="1" header="0.511805555555556" footer="0.511805555555556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17"/>
  <sheetViews>
    <sheetView workbookViewId="0">
      <selection activeCell="A9" sqref="A9:A17"/>
    </sheetView>
  </sheetViews>
  <sheetFormatPr defaultColWidth="9" defaultRowHeight="13.5"/>
  <cols>
    <col min="1" max="10" width="7.375" customWidth="1"/>
  </cols>
  <sheetData>
    <row r="2" spans="1:10">
      <c r="A2" s="30">
        <v>3356</v>
      </c>
      <c r="B2" s="30">
        <v>3394</v>
      </c>
      <c r="C2" s="30">
        <v>3382</v>
      </c>
      <c r="D2" s="31">
        <v>3303</v>
      </c>
      <c r="E2" s="31">
        <v>3330</v>
      </c>
      <c r="F2" s="31">
        <v>3350</v>
      </c>
      <c r="G2" s="30">
        <v>3364</v>
      </c>
      <c r="H2" s="30">
        <v>3378</v>
      </c>
      <c r="I2" s="30">
        <v>3392</v>
      </c>
      <c r="J2" s="30"/>
    </row>
    <row r="3" s="29" customFormat="1" spans="1:10">
      <c r="A3" s="32">
        <v>2.254</v>
      </c>
      <c r="B3" s="32">
        <v>2.284</v>
      </c>
      <c r="C3" s="33">
        <v>2.273</v>
      </c>
      <c r="D3" s="32">
        <f t="shared" ref="D3:I3" si="0">(D2/C2*C3)</f>
        <v>2.21990508574808</v>
      </c>
      <c r="E3" s="32">
        <f t="shared" si="0"/>
        <v>2.23805144884684</v>
      </c>
      <c r="F3" s="32">
        <f t="shared" si="0"/>
        <v>2.25149319929036</v>
      </c>
      <c r="G3" s="32">
        <f t="shared" si="0"/>
        <v>2.26090242460083</v>
      </c>
      <c r="H3" s="32">
        <f t="shared" si="0"/>
        <v>2.2703116499113</v>
      </c>
      <c r="I3" s="32">
        <f t="shared" si="0"/>
        <v>2.27972087522176</v>
      </c>
      <c r="J3" s="32"/>
    </row>
    <row r="4" spans="1:10">
      <c r="A4" s="30">
        <v>2809</v>
      </c>
      <c r="B4" s="30">
        <v>2865</v>
      </c>
      <c r="C4" s="30">
        <v>2843</v>
      </c>
      <c r="D4" s="31">
        <v>2740</v>
      </c>
      <c r="E4" s="31">
        <v>2760</v>
      </c>
      <c r="F4" s="31">
        <v>2775</v>
      </c>
      <c r="G4" s="31">
        <v>2800</v>
      </c>
      <c r="H4" s="30">
        <v>2820</v>
      </c>
      <c r="I4" s="30">
        <v>2838</v>
      </c>
      <c r="J4" s="30">
        <v>2856</v>
      </c>
    </row>
    <row r="5" s="29" customFormat="1" spans="1:10">
      <c r="A5" s="32">
        <v>0.608</v>
      </c>
      <c r="B5" s="32">
        <v>0.624</v>
      </c>
      <c r="C5" s="33">
        <v>0.617</v>
      </c>
      <c r="D5" s="32">
        <f>(D4/C4*C5)</f>
        <v>0.594646500175871</v>
      </c>
      <c r="E5" s="32">
        <f t="shared" ref="E5:J5" si="1">(E4/D4*D5)</f>
        <v>0.598986985578614</v>
      </c>
      <c r="F5" s="32">
        <f t="shared" si="1"/>
        <v>0.602242349630672</v>
      </c>
      <c r="G5" s="32">
        <f t="shared" si="1"/>
        <v>0.607667956384101</v>
      </c>
      <c r="H5" s="32">
        <f t="shared" si="1"/>
        <v>0.612008441786845</v>
      </c>
      <c r="I5" s="32">
        <f t="shared" si="1"/>
        <v>0.615914878649314</v>
      </c>
      <c r="J5" s="32">
        <f t="shared" si="1"/>
        <v>0.619821315511783</v>
      </c>
    </row>
    <row r="9" spans="1:1">
      <c r="A9">
        <v>510100</v>
      </c>
    </row>
    <row r="10" spans="1:1">
      <c r="A10">
        <v>510180</v>
      </c>
    </row>
    <row r="11" spans="1:1">
      <c r="A11">
        <v>510310</v>
      </c>
    </row>
    <row r="12" spans="1:1">
      <c r="A12">
        <v>159967</v>
      </c>
    </row>
    <row r="13" spans="1:1">
      <c r="A13">
        <v>159902</v>
      </c>
    </row>
    <row r="14" spans="1:1">
      <c r="A14">
        <v>159901</v>
      </c>
    </row>
    <row r="15" spans="1:1">
      <c r="A15">
        <v>512910</v>
      </c>
    </row>
    <row r="16" spans="1:1">
      <c r="A16">
        <v>513100</v>
      </c>
    </row>
    <row r="17" spans="1:1">
      <c r="A17">
        <v>513500</v>
      </c>
    </row>
  </sheetData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topLeftCell="A25" workbookViewId="0">
      <selection activeCell="G23" sqref="G23"/>
    </sheetView>
  </sheetViews>
  <sheetFormatPr defaultColWidth="9" defaultRowHeight="13.5"/>
  <cols>
    <col min="1" max="4" width="9" style="15"/>
    <col min="5" max="5" width="9.25" style="15"/>
    <col min="6" max="6" width="9" style="15"/>
    <col min="7" max="9" width="9.375" style="15"/>
    <col min="10" max="11" width="9" style="15"/>
    <col min="12" max="12" width="9.25" style="15"/>
    <col min="13" max="13" width="9" style="15"/>
    <col min="14" max="14" width="9.25" style="15"/>
    <col min="15" max="16" width="9" style="15"/>
  </cols>
  <sheetData>
    <row r="1" spans="1:16">
      <c r="A1" s="16" t="s">
        <v>0</v>
      </c>
      <c r="B1" s="16"/>
      <c r="C1" s="17" t="s">
        <v>5</v>
      </c>
      <c r="D1" s="17" t="s">
        <v>6</v>
      </c>
      <c r="E1" s="18" t="s">
        <v>7</v>
      </c>
      <c r="F1" s="18" t="s">
        <v>8</v>
      </c>
      <c r="G1" s="17" t="s">
        <v>9</v>
      </c>
      <c r="H1" s="19" t="s">
        <v>10</v>
      </c>
      <c r="I1" s="18" t="s">
        <v>11</v>
      </c>
      <c r="J1" s="18" t="s">
        <v>56</v>
      </c>
      <c r="K1" s="18" t="s">
        <v>57</v>
      </c>
      <c r="L1" s="24" t="s">
        <v>58</v>
      </c>
      <c r="M1" s="18" t="s">
        <v>59</v>
      </c>
      <c r="N1" s="25" t="s">
        <v>60</v>
      </c>
      <c r="O1" s="18" t="s">
        <v>61</v>
      </c>
      <c r="P1" s="18" t="s">
        <v>62</v>
      </c>
    </row>
    <row r="2" spans="1:16">
      <c r="A2" s="15" t="s">
        <v>63</v>
      </c>
      <c r="B2" s="15">
        <v>510100</v>
      </c>
      <c r="C2" s="20">
        <v>1.222</v>
      </c>
      <c r="D2" s="20">
        <v>1.37</v>
      </c>
      <c r="E2" s="21">
        <v>1.35</v>
      </c>
      <c r="F2" s="22">
        <f t="shared" ref="F2:F19" si="0">(C2+D2)/2</f>
        <v>1.296</v>
      </c>
      <c r="G2" s="22">
        <f t="shared" ref="G2:G19" si="1">(E2-F2)</f>
        <v>0.054</v>
      </c>
      <c r="H2" s="22">
        <f t="shared" ref="H2:H19" si="2">G2/F2*100</f>
        <v>4.16666666666667</v>
      </c>
      <c r="I2" s="20">
        <f t="shared" ref="I2:I19" si="3">E2-L2</f>
        <v>0.0185093564582384</v>
      </c>
      <c r="J2" s="26">
        <f t="shared" ref="J2:L2" si="4">(K2/K4*J4)</f>
        <v>1.31315381104519</v>
      </c>
      <c r="K2" s="26">
        <f t="shared" si="4"/>
        <v>1.32380100410771</v>
      </c>
      <c r="L2" s="26">
        <f t="shared" si="4"/>
        <v>1.33149064354176</v>
      </c>
      <c r="M2" s="27">
        <f t="shared" ref="M2:M19" si="5">F2</f>
        <v>1.296</v>
      </c>
      <c r="N2" s="26">
        <f t="shared" ref="N2:P2" si="6">M2/M3*N3</f>
        <v>1.33740575079872</v>
      </c>
      <c r="O2" s="20">
        <f t="shared" si="6"/>
        <v>1.34272934732999</v>
      </c>
      <c r="P2" s="20">
        <f t="shared" si="6"/>
        <v>1.34864445458695</v>
      </c>
    </row>
    <row r="3" spans="1:16">
      <c r="A3" s="15" t="s">
        <v>64</v>
      </c>
      <c r="B3" s="15">
        <v>510180</v>
      </c>
      <c r="C3" s="20">
        <v>3.791</v>
      </c>
      <c r="D3" s="20">
        <v>4.196</v>
      </c>
      <c r="E3" s="21">
        <v>4.118</v>
      </c>
      <c r="F3" s="22">
        <f t="shared" si="0"/>
        <v>3.9935</v>
      </c>
      <c r="G3" s="22">
        <f t="shared" si="1"/>
        <v>0.1245</v>
      </c>
      <c r="H3" s="22">
        <f t="shared" si="2"/>
        <v>3.11756604482284</v>
      </c>
      <c r="I3" s="20">
        <f t="shared" si="3"/>
        <v>0.0151389776357833</v>
      </c>
      <c r="J3" s="26">
        <f t="shared" ref="J3:L3" si="7">(K3/K4*J4)</f>
        <v>4.04635782747604</v>
      </c>
      <c r="K3" s="26">
        <f t="shared" si="7"/>
        <v>4.0791661341853</v>
      </c>
      <c r="L3" s="26">
        <f t="shared" si="7"/>
        <v>4.10286102236422</v>
      </c>
      <c r="M3" s="27">
        <f t="shared" si="5"/>
        <v>3.9935</v>
      </c>
      <c r="N3" s="26">
        <f t="shared" ref="N3:P3" si="8">M3/M4*N4</f>
        <v>4.12108785942492</v>
      </c>
      <c r="O3" s="20">
        <f t="shared" si="8"/>
        <v>4.13749201277955</v>
      </c>
      <c r="P3" s="20">
        <f t="shared" si="8"/>
        <v>4.15571884984026</v>
      </c>
    </row>
    <row r="4" spans="1:16">
      <c r="A4" s="15" t="s">
        <v>65</v>
      </c>
      <c r="B4" s="15">
        <v>510310</v>
      </c>
      <c r="C4" s="20">
        <v>2.067</v>
      </c>
      <c r="D4" s="20">
        <v>2.315</v>
      </c>
      <c r="E4" s="21">
        <v>2.278</v>
      </c>
      <c r="F4" s="22">
        <f t="shared" si="0"/>
        <v>2.191</v>
      </c>
      <c r="G4" s="22">
        <f t="shared" si="1"/>
        <v>0.0870000000000002</v>
      </c>
      <c r="H4" s="22">
        <f t="shared" si="2"/>
        <v>3.9707895937928</v>
      </c>
      <c r="I4" s="20">
        <f t="shared" si="3"/>
        <v>0.0270000000000001</v>
      </c>
      <c r="J4" s="26">
        <v>2.22</v>
      </c>
      <c r="K4" s="26">
        <v>2.238</v>
      </c>
      <c r="L4" s="28">
        <v>2.251</v>
      </c>
      <c r="M4" s="27">
        <f t="shared" si="5"/>
        <v>2.191</v>
      </c>
      <c r="N4" s="28">
        <v>2.261</v>
      </c>
      <c r="O4" s="20">
        <v>2.27</v>
      </c>
      <c r="P4" s="20">
        <v>2.28</v>
      </c>
    </row>
    <row r="5" spans="1:16">
      <c r="A5" s="15" t="s">
        <v>66</v>
      </c>
      <c r="B5" s="15">
        <v>159967</v>
      </c>
      <c r="C5" s="20">
        <v>0.486</v>
      </c>
      <c r="D5" s="20">
        <v>0.626</v>
      </c>
      <c r="E5" s="21">
        <v>0.617</v>
      </c>
      <c r="F5" s="22">
        <f t="shared" si="0"/>
        <v>0.556</v>
      </c>
      <c r="G5" s="22">
        <f t="shared" si="1"/>
        <v>0.0609999999999999</v>
      </c>
      <c r="H5" s="22">
        <f t="shared" si="2"/>
        <v>10.9712230215827</v>
      </c>
      <c r="I5" s="26">
        <f t="shared" si="3"/>
        <v>0.00900000000000001</v>
      </c>
      <c r="J5" s="26">
        <v>0.595</v>
      </c>
      <c r="K5" s="26">
        <v>0.602</v>
      </c>
      <c r="L5" s="28">
        <v>0.608</v>
      </c>
      <c r="M5" s="27">
        <f t="shared" si="5"/>
        <v>0.556</v>
      </c>
      <c r="N5" s="28">
        <v>0.612</v>
      </c>
      <c r="O5" s="20">
        <v>0.616</v>
      </c>
      <c r="P5" s="20">
        <v>0.62</v>
      </c>
    </row>
    <row r="6" spans="1:16">
      <c r="A6" s="15" t="s">
        <v>67</v>
      </c>
      <c r="B6" s="15">
        <v>159902</v>
      </c>
      <c r="C6" s="20">
        <v>4.151</v>
      </c>
      <c r="D6" s="20">
        <v>4.718</v>
      </c>
      <c r="E6" s="21">
        <v>4.588</v>
      </c>
      <c r="F6" s="22">
        <f t="shared" si="0"/>
        <v>4.4345</v>
      </c>
      <c r="G6" s="22">
        <f t="shared" si="1"/>
        <v>0.1535</v>
      </c>
      <c r="H6" s="22">
        <f t="shared" si="2"/>
        <v>3.46149509527568</v>
      </c>
      <c r="I6" s="26">
        <f t="shared" si="3"/>
        <v>0.0320623003194891</v>
      </c>
      <c r="J6" s="26">
        <f t="shared" ref="J6:L6" si="9">(K6/K4*J4)</f>
        <v>4.49319488817891</v>
      </c>
      <c r="K6" s="26">
        <f t="shared" si="9"/>
        <v>4.52962619808307</v>
      </c>
      <c r="L6" s="26">
        <f t="shared" si="9"/>
        <v>4.55593769968051</v>
      </c>
      <c r="M6" s="27">
        <f t="shared" si="5"/>
        <v>4.4345</v>
      </c>
      <c r="N6" s="26">
        <f t="shared" ref="N6:P6" si="10">M6/M4*N4</f>
        <v>4.57617731629393</v>
      </c>
      <c r="O6" s="20">
        <f t="shared" si="10"/>
        <v>4.59439297124601</v>
      </c>
      <c r="P6" s="20">
        <f t="shared" si="10"/>
        <v>4.61463258785942</v>
      </c>
    </row>
    <row r="7" spans="1:16">
      <c r="A7" s="15" t="s">
        <v>68</v>
      </c>
      <c r="B7" s="23">
        <v>159901</v>
      </c>
      <c r="C7" s="20">
        <v>6.505</v>
      </c>
      <c r="D7" s="20">
        <v>7.579</v>
      </c>
      <c r="E7" s="21">
        <v>7.522</v>
      </c>
      <c r="F7" s="22">
        <f t="shared" si="0"/>
        <v>7.042</v>
      </c>
      <c r="G7" s="22">
        <f t="shared" si="1"/>
        <v>0.48</v>
      </c>
      <c r="H7" s="22">
        <f t="shared" si="2"/>
        <v>6.81624538483386</v>
      </c>
      <c r="I7" s="26">
        <f t="shared" si="3"/>
        <v>-0.178604316546761</v>
      </c>
      <c r="J7" s="26">
        <f t="shared" ref="J7:L7" si="11">(K7/K5*J5)</f>
        <v>7.53595323741007</v>
      </c>
      <c r="K7" s="26">
        <f t="shared" si="11"/>
        <v>7.62461151079137</v>
      </c>
      <c r="L7" s="26">
        <f t="shared" si="11"/>
        <v>7.70060431654676</v>
      </c>
      <c r="M7" s="27">
        <f t="shared" si="5"/>
        <v>7.042</v>
      </c>
      <c r="N7" s="26">
        <f t="shared" ref="N7:P7" si="12">M7/M5*N5</f>
        <v>7.75126618705036</v>
      </c>
      <c r="O7" s="20">
        <f t="shared" si="12"/>
        <v>7.80192805755396</v>
      </c>
      <c r="P7" s="20">
        <f t="shared" si="12"/>
        <v>7.85258992805755</v>
      </c>
    </row>
    <row r="8" spans="1:16">
      <c r="A8" s="15" t="s">
        <v>69</v>
      </c>
      <c r="B8" s="15">
        <v>512910</v>
      </c>
      <c r="C8" s="20">
        <v>1.281</v>
      </c>
      <c r="D8" s="20">
        <v>1.466</v>
      </c>
      <c r="E8" s="21">
        <v>1.442</v>
      </c>
      <c r="F8" s="22">
        <f t="shared" si="0"/>
        <v>1.3735</v>
      </c>
      <c r="G8" s="22">
        <f t="shared" si="1"/>
        <v>0.0685</v>
      </c>
      <c r="H8" s="22">
        <f t="shared" si="2"/>
        <v>4.98725882781216</v>
      </c>
      <c r="I8" s="26">
        <f t="shared" si="3"/>
        <v>0.0308870378822454</v>
      </c>
      <c r="J8" s="26">
        <f t="shared" ref="J8:L8" si="13">(K8/K6*J6)</f>
        <v>1.39167959835691</v>
      </c>
      <c r="K8" s="26">
        <f t="shared" si="13"/>
        <v>1.40296348699224</v>
      </c>
      <c r="L8" s="26">
        <f t="shared" si="13"/>
        <v>1.41111296211775</v>
      </c>
      <c r="M8" s="27">
        <f t="shared" si="5"/>
        <v>1.3735</v>
      </c>
      <c r="N8" s="26">
        <f t="shared" ref="N8:P8" si="14">M8/M6*N6</f>
        <v>1.41738178913738</v>
      </c>
      <c r="O8" s="20">
        <f t="shared" si="14"/>
        <v>1.42302373345504</v>
      </c>
      <c r="P8" s="20">
        <f t="shared" si="14"/>
        <v>1.42929256047467</v>
      </c>
    </row>
    <row r="9" spans="1:16">
      <c r="A9" s="15" t="s">
        <v>70</v>
      </c>
      <c r="B9" s="23">
        <v>513100</v>
      </c>
      <c r="C9" s="20">
        <v>4.182</v>
      </c>
      <c r="D9" s="20">
        <v>4.992</v>
      </c>
      <c r="E9" s="21">
        <v>4.302</v>
      </c>
      <c r="F9" s="22">
        <f t="shared" si="0"/>
        <v>4.587</v>
      </c>
      <c r="G9" s="22">
        <f t="shared" si="1"/>
        <v>-0.285</v>
      </c>
      <c r="H9" s="22">
        <f t="shared" si="2"/>
        <v>-6.21321124918248</v>
      </c>
      <c r="I9" s="26">
        <f t="shared" si="3"/>
        <v>-0.714</v>
      </c>
      <c r="J9" s="26">
        <f t="shared" ref="J9:L9" si="15">(K9/K7*J7)</f>
        <v>4.90875</v>
      </c>
      <c r="K9" s="26">
        <f t="shared" si="15"/>
        <v>4.9665</v>
      </c>
      <c r="L9" s="26">
        <f t="shared" si="15"/>
        <v>5.016</v>
      </c>
      <c r="M9" s="27">
        <f t="shared" si="5"/>
        <v>4.587</v>
      </c>
      <c r="N9" s="26">
        <f t="shared" ref="N9:P9" si="16">M9/M7*N7</f>
        <v>5.049</v>
      </c>
      <c r="O9" s="20">
        <f t="shared" si="16"/>
        <v>5.082</v>
      </c>
      <c r="P9" s="20">
        <f t="shared" si="16"/>
        <v>5.115</v>
      </c>
    </row>
    <row r="10" spans="1:16">
      <c r="A10" s="15" t="s">
        <v>71</v>
      </c>
      <c r="B10" s="15">
        <v>513500</v>
      </c>
      <c r="C10" s="20">
        <v>2.043</v>
      </c>
      <c r="D10" s="20">
        <v>2.299</v>
      </c>
      <c r="E10" s="21">
        <v>2.272</v>
      </c>
      <c r="F10" s="22">
        <f t="shared" si="0"/>
        <v>2.171</v>
      </c>
      <c r="G10" s="22">
        <f t="shared" si="1"/>
        <v>0.101</v>
      </c>
      <c r="H10" s="22">
        <f t="shared" si="2"/>
        <v>4.65223399355134</v>
      </c>
      <c r="I10" s="26">
        <f t="shared" si="3"/>
        <v>0.0415476951163845</v>
      </c>
      <c r="J10" s="26">
        <f t="shared" ref="J10:L10" si="17">(K10/K8*J8)</f>
        <v>2.19973528069375</v>
      </c>
      <c r="K10" s="26">
        <f t="shared" si="17"/>
        <v>2.21757097215883</v>
      </c>
      <c r="L10" s="26">
        <f t="shared" si="17"/>
        <v>2.23045230488362</v>
      </c>
      <c r="M10" s="27">
        <f t="shared" si="5"/>
        <v>2.171</v>
      </c>
      <c r="N10" s="26">
        <f t="shared" ref="N10:P10" si="18">M10/M8*N8</f>
        <v>2.24036102236422</v>
      </c>
      <c r="O10" s="20">
        <f t="shared" si="18"/>
        <v>2.24927886809676</v>
      </c>
      <c r="P10" s="20">
        <f t="shared" si="18"/>
        <v>2.25918758557736</v>
      </c>
    </row>
    <row r="11" spans="1:16">
      <c r="A11" s="15" t="s">
        <v>65</v>
      </c>
      <c r="B11" s="23">
        <v>510300</v>
      </c>
      <c r="C11" s="15">
        <v>4.62</v>
      </c>
      <c r="D11" s="15">
        <v>5.165</v>
      </c>
      <c r="E11" s="15">
        <v>5.072</v>
      </c>
      <c r="F11" s="22">
        <f t="shared" si="0"/>
        <v>4.8925</v>
      </c>
      <c r="G11" s="22">
        <f t="shared" si="1"/>
        <v>0.1795</v>
      </c>
      <c r="H11" s="22">
        <f t="shared" si="2"/>
        <v>3.66888094021461</v>
      </c>
      <c r="I11" s="26">
        <f t="shared" si="3"/>
        <v>-0.278071942446043</v>
      </c>
      <c r="J11" s="26">
        <f t="shared" ref="J11:L11" si="19">(K11/K9*J9)</f>
        <v>5.23567895683453</v>
      </c>
      <c r="K11" s="26">
        <f t="shared" si="19"/>
        <v>5.29727517985611</v>
      </c>
      <c r="L11" s="26">
        <f t="shared" si="19"/>
        <v>5.35007194244604</v>
      </c>
      <c r="M11" s="27">
        <f t="shared" si="5"/>
        <v>4.8925</v>
      </c>
      <c r="N11" s="26">
        <f t="shared" ref="N11:P11" si="20">M11/M9*N9</f>
        <v>5.38526978417266</v>
      </c>
      <c r="O11" s="20">
        <f t="shared" si="20"/>
        <v>5.42046762589928</v>
      </c>
      <c r="P11" s="20">
        <f t="shared" si="20"/>
        <v>5.4556654676259</v>
      </c>
    </row>
    <row r="12" spans="1:16">
      <c r="A12" s="15" t="s">
        <v>438</v>
      </c>
      <c r="B12" s="15">
        <v>159915</v>
      </c>
      <c r="C12" s="15">
        <v>2.39</v>
      </c>
      <c r="D12" s="15">
        <v>2.792</v>
      </c>
      <c r="E12" s="15">
        <v>2.728</v>
      </c>
      <c r="F12" s="22">
        <f t="shared" si="0"/>
        <v>2.591</v>
      </c>
      <c r="G12" s="22">
        <f t="shared" si="1"/>
        <v>0.137</v>
      </c>
      <c r="H12" s="22">
        <f t="shared" si="2"/>
        <v>5.28753377074489</v>
      </c>
      <c r="I12" s="26">
        <f t="shared" si="3"/>
        <v>0.0660460976722952</v>
      </c>
      <c r="J12" s="26">
        <f t="shared" ref="J12:L12" si="21">(K12/K10*J10)</f>
        <v>2.62529438612506</v>
      </c>
      <c r="K12" s="26">
        <f t="shared" si="21"/>
        <v>2.64658055682337</v>
      </c>
      <c r="L12" s="26">
        <f t="shared" si="21"/>
        <v>2.6619539023277</v>
      </c>
      <c r="M12" s="27">
        <f t="shared" si="5"/>
        <v>2.591</v>
      </c>
      <c r="N12" s="26">
        <f t="shared" ref="N12:P12" si="22">M12/M10*N10</f>
        <v>2.67377955271565</v>
      </c>
      <c r="O12" s="20">
        <f t="shared" si="22"/>
        <v>2.68442263806481</v>
      </c>
      <c r="P12" s="20">
        <f t="shared" si="22"/>
        <v>2.69624828845276</v>
      </c>
    </row>
    <row r="13" spans="1:16">
      <c r="A13" s="15" t="s">
        <v>439</v>
      </c>
      <c r="B13" s="23">
        <v>159949</v>
      </c>
      <c r="C13" s="15">
        <v>0.971</v>
      </c>
      <c r="D13" s="15">
        <v>1.209</v>
      </c>
      <c r="E13" s="15">
        <v>1.179</v>
      </c>
      <c r="F13" s="22">
        <f t="shared" si="0"/>
        <v>1.09</v>
      </c>
      <c r="G13" s="22">
        <f t="shared" si="1"/>
        <v>0.089</v>
      </c>
      <c r="H13" s="22">
        <f t="shared" si="2"/>
        <v>8.1651376146789</v>
      </c>
      <c r="I13" s="26">
        <f t="shared" si="3"/>
        <v>-0.0129424460431655</v>
      </c>
      <c r="J13" s="26">
        <f t="shared" ref="J13:L13" si="23">(K13/K11*J11)</f>
        <v>1.16645683453237</v>
      </c>
      <c r="K13" s="26">
        <f t="shared" si="23"/>
        <v>1.18017985611511</v>
      </c>
      <c r="L13" s="26">
        <f t="shared" si="23"/>
        <v>1.19194244604317</v>
      </c>
      <c r="M13" s="27">
        <f t="shared" si="5"/>
        <v>1.09</v>
      </c>
      <c r="N13" s="26">
        <f t="shared" ref="N13:P13" si="24">M13/M11*N11</f>
        <v>1.19978417266187</v>
      </c>
      <c r="O13" s="20">
        <f t="shared" si="24"/>
        <v>1.20762589928058</v>
      </c>
      <c r="P13" s="20">
        <f t="shared" si="24"/>
        <v>1.21546762589928</v>
      </c>
    </row>
    <row r="14" spans="1:16">
      <c r="A14" s="15" t="s">
        <v>440</v>
      </c>
      <c r="B14" s="15">
        <v>512690</v>
      </c>
      <c r="C14" s="15">
        <v>1.767</v>
      </c>
      <c r="D14" s="15">
        <v>2.66</v>
      </c>
      <c r="E14" s="15">
        <v>2.4942</v>
      </c>
      <c r="F14" s="22">
        <f t="shared" si="0"/>
        <v>2.2135</v>
      </c>
      <c r="G14" s="22">
        <f t="shared" si="1"/>
        <v>0.2807</v>
      </c>
      <c r="H14" s="22">
        <f t="shared" si="2"/>
        <v>12.6812740004518</v>
      </c>
      <c r="I14" s="26">
        <f t="shared" si="3"/>
        <v>0.220083842994066</v>
      </c>
      <c r="J14" s="26">
        <f>(K14/K12*J12)</f>
        <v>2.24279780921953</v>
      </c>
      <c r="K14" s="26">
        <f>(L14/L12*K12)</f>
        <v>2.26098265632131</v>
      </c>
      <c r="L14" s="26">
        <f>(M14/M12*L12)</f>
        <v>2.27411615700593</v>
      </c>
      <c r="M14" s="27">
        <f t="shared" si="5"/>
        <v>2.2135</v>
      </c>
      <c r="N14" s="26">
        <f>M14/M12*N12</f>
        <v>2.28421884984026</v>
      </c>
      <c r="O14" s="20">
        <f>N14/N12*O12</f>
        <v>2.29331127339115</v>
      </c>
      <c r="P14" s="20">
        <f>O14/O12*P12</f>
        <v>2.30341396622547</v>
      </c>
    </row>
    <row r="15" spans="1:16">
      <c r="A15" s="15" t="s">
        <v>441</v>
      </c>
      <c r="B15" s="15">
        <v>159806</v>
      </c>
      <c r="C15" s="15">
        <v>1.3</v>
      </c>
      <c r="D15" s="15">
        <v>2.056</v>
      </c>
      <c r="E15" s="15">
        <v>2.0629</v>
      </c>
      <c r="F15" s="22">
        <f t="shared" si="0"/>
        <v>1.678</v>
      </c>
      <c r="G15" s="22">
        <f t="shared" si="1"/>
        <v>0.3849</v>
      </c>
      <c r="H15" s="22">
        <f t="shared" si="2"/>
        <v>22.938021454112</v>
      </c>
      <c r="I15" s="26">
        <f t="shared" si="3"/>
        <v>0.227964748201439</v>
      </c>
      <c r="J15" s="26">
        <f>(K15/K13*J13)</f>
        <v>1.79570143884892</v>
      </c>
      <c r="K15" s="26">
        <f>(L15/L13*K13)</f>
        <v>1.8168273381295</v>
      </c>
      <c r="L15" s="26">
        <f>(M15/M13*L13)</f>
        <v>1.83493525179856</v>
      </c>
      <c r="M15" s="27">
        <f t="shared" si="5"/>
        <v>1.678</v>
      </c>
      <c r="N15" s="26">
        <f>M15/M13*N13</f>
        <v>1.8470071942446</v>
      </c>
      <c r="O15" s="20">
        <f>N15/N13*O13</f>
        <v>1.85907913669065</v>
      </c>
      <c r="P15" s="20">
        <f>O15/O13*P13</f>
        <v>1.87115107913669</v>
      </c>
    </row>
    <row r="16" spans="1:16">
      <c r="A16" s="15" t="s">
        <v>442</v>
      </c>
      <c r="B16" s="15">
        <v>515790</v>
      </c>
      <c r="C16" s="15">
        <v>1</v>
      </c>
      <c r="D16" s="15">
        <v>1.133</v>
      </c>
      <c r="E16" s="15">
        <v>1.1522</v>
      </c>
      <c r="F16" s="22">
        <f t="shared" si="0"/>
        <v>1.0665</v>
      </c>
      <c r="G16" s="22">
        <f t="shared" si="1"/>
        <v>0.0856999999999999</v>
      </c>
      <c r="H16" s="22">
        <f t="shared" si="2"/>
        <v>8.03563056727613</v>
      </c>
      <c r="I16" s="26">
        <f t="shared" si="3"/>
        <v>0.0564941579187581</v>
      </c>
      <c r="J16" s="26">
        <f>(K16/K14*J14)</f>
        <v>1.08061615700593</v>
      </c>
      <c r="K16" s="26">
        <f>(L16/L14*K14)</f>
        <v>1.08937790963031</v>
      </c>
      <c r="L16" s="26">
        <f>(M16/M14*L14)</f>
        <v>1.09570584208124</v>
      </c>
      <c r="M16" s="27">
        <f t="shared" si="5"/>
        <v>1.0665</v>
      </c>
      <c r="N16" s="26">
        <f>M16/M14*N14</f>
        <v>1.10057348242812</v>
      </c>
      <c r="O16" s="20">
        <f>N16/N14*O14</f>
        <v>1.1049543587403</v>
      </c>
      <c r="P16" s="20">
        <f>O16/O14*P14</f>
        <v>1.10982199908718</v>
      </c>
    </row>
    <row r="17" spans="1:16">
      <c r="A17" s="15" t="s">
        <v>443</v>
      </c>
      <c r="B17" s="15">
        <v>512010</v>
      </c>
      <c r="C17" s="15">
        <v>2.53</v>
      </c>
      <c r="D17" s="15">
        <v>2.988</v>
      </c>
      <c r="E17" s="15">
        <v>3.0043</v>
      </c>
      <c r="F17" s="22">
        <f t="shared" si="0"/>
        <v>2.759</v>
      </c>
      <c r="G17" s="22">
        <f t="shared" si="1"/>
        <v>0.2453</v>
      </c>
      <c r="H17" s="22">
        <f t="shared" si="2"/>
        <v>8.89090250090614</v>
      </c>
      <c r="I17" s="26">
        <f t="shared" si="3"/>
        <v>-0.0127359712230217</v>
      </c>
      <c r="J17" s="26">
        <f>(K17/K15*J15)</f>
        <v>2.95252697841727</v>
      </c>
      <c r="K17" s="26">
        <f>(L17/L15*K15)</f>
        <v>2.98726258992806</v>
      </c>
      <c r="L17" s="26">
        <f>(M17/M15*L15)</f>
        <v>3.01703597122302</v>
      </c>
      <c r="M17" s="27">
        <f t="shared" si="5"/>
        <v>2.759</v>
      </c>
      <c r="N17" s="26">
        <f>M17/M15*N15</f>
        <v>3.03688489208633</v>
      </c>
      <c r="O17" s="20">
        <f>N17/N15*O15</f>
        <v>3.05673381294964</v>
      </c>
      <c r="P17" s="20">
        <f>O17/O15*P15</f>
        <v>3.07658273381295</v>
      </c>
    </row>
    <row r="18" spans="1:16">
      <c r="A18" s="15" t="s">
        <v>442</v>
      </c>
      <c r="B18" s="15">
        <v>512670</v>
      </c>
      <c r="C18" s="15">
        <v>1.55</v>
      </c>
      <c r="D18" s="15">
        <v>1.976</v>
      </c>
      <c r="E18" s="15">
        <v>1.9325</v>
      </c>
      <c r="F18" s="22">
        <f t="shared" si="0"/>
        <v>1.763</v>
      </c>
      <c r="G18" s="22">
        <f t="shared" si="1"/>
        <v>0.1695</v>
      </c>
      <c r="H18" s="22">
        <f t="shared" si="2"/>
        <v>9.61429381735679</v>
      </c>
      <c r="I18" s="26">
        <f t="shared" si="3"/>
        <v>0.00461510791366893</v>
      </c>
      <c r="J18" s="26">
        <f>(K18/K17*J17)</f>
        <v>1.88666366906475</v>
      </c>
      <c r="K18" s="26">
        <f>(L18/L17*K17)</f>
        <v>1.90885971223022</v>
      </c>
      <c r="L18" s="26">
        <f>(M18/M17*L17)</f>
        <v>1.92788489208633</v>
      </c>
      <c r="M18" s="27">
        <f t="shared" si="5"/>
        <v>1.763</v>
      </c>
      <c r="N18" s="26">
        <f>M18/M17*N17</f>
        <v>1.94056834532374</v>
      </c>
      <c r="O18" s="20">
        <f>N18/N17*O17</f>
        <v>1.95325179856115</v>
      </c>
      <c r="P18" s="20">
        <f>O18/O17*P17</f>
        <v>1.96593525179856</v>
      </c>
    </row>
    <row r="19" spans="1:16">
      <c r="A19" s="15" t="s">
        <v>444</v>
      </c>
      <c r="B19" s="15">
        <v>159827</v>
      </c>
      <c r="C19" s="15">
        <v>0.993</v>
      </c>
      <c r="D19" s="15">
        <v>1.025</v>
      </c>
      <c r="E19" s="15">
        <v>1.007</v>
      </c>
      <c r="F19" s="22">
        <f t="shared" si="0"/>
        <v>1.009</v>
      </c>
      <c r="G19" s="22">
        <f t="shared" si="1"/>
        <v>-0.002</v>
      </c>
      <c r="H19" s="22">
        <f t="shared" si="2"/>
        <v>-0.198216055500496</v>
      </c>
      <c r="I19" s="26" t="e">
        <f t="shared" si="3"/>
        <v>#REF!</v>
      </c>
      <c r="J19" s="26" t="e">
        <f>(K19/#REF!*#REF!)</f>
        <v>#REF!</v>
      </c>
      <c r="K19" s="26" t="e">
        <f>(L19/#REF!*#REF!)</f>
        <v>#REF!</v>
      </c>
      <c r="L19" s="26" t="e">
        <f>(M19/#REF!*#REF!)</f>
        <v>#REF!</v>
      </c>
      <c r="M19" s="27">
        <f t="shared" si="5"/>
        <v>1.009</v>
      </c>
      <c r="N19" s="26" t="e">
        <f>M19/#REF!*#REF!</f>
        <v>#REF!</v>
      </c>
      <c r="O19" s="20" t="e">
        <f>N19/#REF!*#REF!</f>
        <v>#REF!</v>
      </c>
      <c r="P19" s="20" t="e">
        <f>O19/#REF!*#REF!</f>
        <v>#REF!</v>
      </c>
    </row>
  </sheetData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topLeftCell="A19" workbookViewId="0">
      <selection activeCell="H30" sqref="H30"/>
    </sheetView>
  </sheetViews>
  <sheetFormatPr defaultColWidth="9" defaultRowHeight="13.5"/>
  <cols>
    <col min="1" max="1" width="3.375" style="10" customWidth="1"/>
    <col min="2" max="2" width="7.375" style="10" customWidth="1"/>
    <col min="3" max="3" width="17.125" style="10" customWidth="1"/>
    <col min="4" max="6" width="7.375" style="10" customWidth="1"/>
    <col min="7" max="16384" width="9" style="10"/>
  </cols>
  <sheetData>
    <row r="1" spans="1:6">
      <c r="A1" s="10" t="s">
        <v>445</v>
      </c>
      <c r="B1" s="10" t="s">
        <v>1</v>
      </c>
      <c r="C1" s="10" t="s">
        <v>72</v>
      </c>
      <c r="D1" s="10" t="s">
        <v>75</v>
      </c>
      <c r="E1" s="10" t="s">
        <v>446</v>
      </c>
      <c r="F1" s="10" t="s">
        <v>73</v>
      </c>
    </row>
    <row r="2" ht="15" spans="1:11">
      <c r="A2" s="10">
        <v>1</v>
      </c>
      <c r="B2" s="10">
        <v>159806</v>
      </c>
      <c r="C2" s="10" t="s">
        <v>447</v>
      </c>
      <c r="D2" s="10">
        <v>0.4718</v>
      </c>
      <c r="E2" s="10">
        <v>1.4106</v>
      </c>
      <c r="F2" s="10">
        <v>2.0761</v>
      </c>
      <c r="H2" s="11">
        <v>7.79</v>
      </c>
      <c r="I2" s="11">
        <v>18.42</v>
      </c>
      <c r="J2" s="11">
        <v>53.34</v>
      </c>
      <c r="K2" s="11">
        <v>71.71</v>
      </c>
    </row>
    <row r="3" ht="15" spans="1:11">
      <c r="A3" s="10">
        <v>2</v>
      </c>
      <c r="B3" s="10">
        <v>515700</v>
      </c>
      <c r="C3" s="10" t="s">
        <v>448</v>
      </c>
      <c r="D3" s="10">
        <v>0.4681</v>
      </c>
      <c r="E3" s="10">
        <v>1.3883</v>
      </c>
      <c r="F3" s="10">
        <v>2.0382</v>
      </c>
      <c r="G3" s="11">
        <v>103.76</v>
      </c>
      <c r="H3" s="11">
        <v>8.35</v>
      </c>
      <c r="I3" s="11">
        <v>17.67</v>
      </c>
      <c r="J3" s="11">
        <v>53.63</v>
      </c>
      <c r="K3" s="11">
        <v>74.15</v>
      </c>
    </row>
    <row r="4" ht="15" spans="1:12">
      <c r="A4" s="10">
        <v>3</v>
      </c>
      <c r="B4" s="10">
        <v>512690</v>
      </c>
      <c r="C4" s="10" t="s">
        <v>148</v>
      </c>
      <c r="D4" s="10">
        <v>0.4661</v>
      </c>
      <c r="E4" s="10">
        <v>1.7006</v>
      </c>
      <c r="F4" s="10">
        <v>2.4933</v>
      </c>
      <c r="G4" s="11">
        <v>109.31</v>
      </c>
      <c r="H4" s="11">
        <v>-0.73</v>
      </c>
      <c r="I4" s="11">
        <v>13.8</v>
      </c>
      <c r="J4" s="11">
        <v>38.93</v>
      </c>
      <c r="K4" s="11">
        <v>71.6</v>
      </c>
      <c r="L4" s="11">
        <v>120.06</v>
      </c>
    </row>
    <row r="5" ht="15" spans="1:14">
      <c r="A5" s="10">
        <v>5</v>
      </c>
      <c r="B5" s="10">
        <v>512580</v>
      </c>
      <c r="C5" s="10" t="s">
        <v>449</v>
      </c>
      <c r="D5" s="10">
        <v>0.2319</v>
      </c>
      <c r="E5" s="10">
        <v>1.001</v>
      </c>
      <c r="F5" s="10">
        <v>1.2331</v>
      </c>
      <c r="G5" s="11">
        <v>56.58</v>
      </c>
      <c r="H5" s="11">
        <v>8.3</v>
      </c>
      <c r="I5" s="11">
        <v>13.79</v>
      </c>
      <c r="J5" s="11">
        <v>26.64</v>
      </c>
      <c r="K5" s="11">
        <v>46.03</v>
      </c>
      <c r="L5" s="11">
        <v>58.62</v>
      </c>
      <c r="M5" s="11">
        <v>87.97</v>
      </c>
      <c r="N5" s="11">
        <v>24.15</v>
      </c>
    </row>
    <row r="6" ht="15" spans="1:11">
      <c r="A6" s="10">
        <v>6</v>
      </c>
      <c r="B6" s="10">
        <v>515220</v>
      </c>
      <c r="C6" s="10" t="s">
        <v>450</v>
      </c>
      <c r="D6" s="10">
        <v>0.2105</v>
      </c>
      <c r="E6" s="10">
        <v>1.1008</v>
      </c>
      <c r="F6" s="10">
        <v>1.3325</v>
      </c>
      <c r="H6" s="11">
        <v>1.84</v>
      </c>
      <c r="I6" s="11">
        <v>3.11</v>
      </c>
      <c r="J6" s="11">
        <v>20.37</v>
      </c>
      <c r="K6" s="11">
        <v>39.75</v>
      </c>
    </row>
    <row r="7" ht="15" spans="1:12">
      <c r="A7" s="10">
        <v>7</v>
      </c>
      <c r="B7" s="10">
        <v>159985</v>
      </c>
      <c r="C7" s="10" t="s">
        <v>451</v>
      </c>
      <c r="D7" s="10">
        <v>0.2024</v>
      </c>
      <c r="E7" s="10">
        <v>1.0032</v>
      </c>
      <c r="F7" s="10">
        <v>1.2062</v>
      </c>
      <c r="G7" s="11">
        <v>22.01</v>
      </c>
      <c r="H7" s="11">
        <v>3.99</v>
      </c>
      <c r="I7" s="11">
        <v>2</v>
      </c>
      <c r="J7" s="11">
        <v>12</v>
      </c>
      <c r="K7" s="11">
        <v>22.97</v>
      </c>
      <c r="L7" s="11">
        <v>23.37</v>
      </c>
    </row>
    <row r="8" ht="15" spans="1:15">
      <c r="A8" s="10">
        <v>9</v>
      </c>
      <c r="B8" s="10">
        <v>510630</v>
      </c>
      <c r="C8" s="10" t="s">
        <v>380</v>
      </c>
      <c r="D8" s="10">
        <v>0.1801</v>
      </c>
      <c r="E8" s="10">
        <v>4.7281</v>
      </c>
      <c r="F8" s="10">
        <v>5.5795</v>
      </c>
      <c r="G8" s="11">
        <v>85.8</v>
      </c>
      <c r="H8" s="11">
        <v>1.24</v>
      </c>
      <c r="I8" s="11">
        <v>12.17</v>
      </c>
      <c r="J8" s="11">
        <v>17.67</v>
      </c>
      <c r="K8" s="11">
        <v>41.61</v>
      </c>
      <c r="L8" s="11">
        <v>90.95</v>
      </c>
      <c r="M8" s="11">
        <v>189</v>
      </c>
      <c r="N8" s="11">
        <v>134.51</v>
      </c>
      <c r="O8" s="11">
        <v>246.45</v>
      </c>
    </row>
    <row r="9" ht="15" spans="1:12">
      <c r="A9" s="10">
        <v>10</v>
      </c>
      <c r="B9" s="10">
        <v>159981</v>
      </c>
      <c r="C9" s="10" t="s">
        <v>452</v>
      </c>
      <c r="D9" s="10">
        <v>0.1751</v>
      </c>
      <c r="E9" s="10">
        <v>0.8671</v>
      </c>
      <c r="F9" s="10">
        <v>1.0189</v>
      </c>
      <c r="G9" s="11">
        <v>1.48</v>
      </c>
      <c r="H9" s="11">
        <v>-1.88</v>
      </c>
      <c r="I9" s="11">
        <v>9.38</v>
      </c>
      <c r="J9" s="11">
        <v>17.43</v>
      </c>
      <c r="K9" s="11">
        <v>20.58</v>
      </c>
      <c r="L9" s="11">
        <v>1.87</v>
      </c>
    </row>
    <row r="10" ht="15" spans="1:8">
      <c r="A10" s="10">
        <v>11</v>
      </c>
      <c r="B10" s="10">
        <v>515790</v>
      </c>
      <c r="C10" s="10" t="s">
        <v>453</v>
      </c>
      <c r="D10" s="10">
        <v>0.1581</v>
      </c>
      <c r="E10" s="10">
        <v>1</v>
      </c>
      <c r="F10" s="10">
        <v>1.1581</v>
      </c>
      <c r="H10" s="11">
        <v>12.3</v>
      </c>
    </row>
    <row r="11" ht="15" spans="1:15">
      <c r="A11" s="10">
        <v>15</v>
      </c>
      <c r="B11" s="10">
        <v>159905</v>
      </c>
      <c r="C11" s="10" t="s">
        <v>454</v>
      </c>
      <c r="D11" s="10">
        <v>0.1384</v>
      </c>
      <c r="E11" s="10">
        <v>2.3189</v>
      </c>
      <c r="F11" s="10">
        <v>2.6399</v>
      </c>
      <c r="G11" s="11">
        <v>28.83</v>
      </c>
      <c r="H11" s="11">
        <v>-0.38</v>
      </c>
      <c r="I11" s="11">
        <v>-0.3</v>
      </c>
      <c r="J11" s="11">
        <v>16.02</v>
      </c>
      <c r="K11" s="11">
        <v>31.31</v>
      </c>
      <c r="L11" s="11">
        <v>32.4</v>
      </c>
      <c r="M11" s="11">
        <v>105.57</v>
      </c>
      <c r="N11" s="11">
        <v>50.8</v>
      </c>
      <c r="O11" s="11">
        <v>106.73</v>
      </c>
    </row>
    <row r="12" ht="15" spans="1:14">
      <c r="A12" s="10">
        <v>17</v>
      </c>
      <c r="B12" s="10">
        <v>512550</v>
      </c>
      <c r="C12" s="10" t="s">
        <v>455</v>
      </c>
      <c r="D12" s="10">
        <v>0.1311</v>
      </c>
      <c r="E12" s="10">
        <v>1.4976</v>
      </c>
      <c r="F12" s="10">
        <v>1.6939</v>
      </c>
      <c r="G12" s="11">
        <v>30.35</v>
      </c>
      <c r="H12" s="11">
        <v>0.66</v>
      </c>
      <c r="I12" s="11">
        <v>3.49</v>
      </c>
      <c r="J12" s="11">
        <v>13.41</v>
      </c>
      <c r="K12" s="11">
        <v>28.7</v>
      </c>
      <c r="L12" s="11">
        <v>33.87</v>
      </c>
      <c r="M12" s="11">
        <v>89.77</v>
      </c>
      <c r="N12" s="11">
        <v>51.05</v>
      </c>
    </row>
    <row r="13" ht="15" spans="1:13">
      <c r="A13" s="10">
        <v>27</v>
      </c>
      <c r="B13" s="10">
        <v>512280</v>
      </c>
      <c r="C13" s="10" t="s">
        <v>456</v>
      </c>
      <c r="D13" s="10">
        <v>0.1086</v>
      </c>
      <c r="E13" s="10">
        <v>1.3779</v>
      </c>
      <c r="F13" s="10">
        <v>1.5276</v>
      </c>
      <c r="G13" s="11">
        <v>36.93</v>
      </c>
      <c r="H13" s="11">
        <v>1.33</v>
      </c>
      <c r="I13" s="11">
        <v>4.55</v>
      </c>
      <c r="J13" s="11">
        <v>12.6</v>
      </c>
      <c r="K13" s="11">
        <v>28.85</v>
      </c>
      <c r="L13" s="11">
        <v>40.38</v>
      </c>
      <c r="M13" s="11">
        <v>88.1</v>
      </c>
    </row>
    <row r="14" ht="15" spans="1:14">
      <c r="A14" s="10">
        <v>28</v>
      </c>
      <c r="B14" s="10">
        <v>512400</v>
      </c>
      <c r="C14" s="10" t="s">
        <v>457</v>
      </c>
      <c r="D14" s="10">
        <v>0.1083</v>
      </c>
      <c r="E14" s="10">
        <v>0.9231</v>
      </c>
      <c r="F14" s="10">
        <v>1.0231</v>
      </c>
      <c r="G14" s="11">
        <v>40.73</v>
      </c>
      <c r="H14" s="11">
        <v>5.22</v>
      </c>
      <c r="I14" s="11">
        <v>8.28</v>
      </c>
      <c r="J14" s="11">
        <v>31.98</v>
      </c>
      <c r="K14" s="11">
        <v>44.65</v>
      </c>
      <c r="L14" s="11">
        <v>48.13</v>
      </c>
      <c r="M14" s="11">
        <v>79.24</v>
      </c>
      <c r="N14" s="11">
        <v>13.89</v>
      </c>
    </row>
    <row r="15" ht="15" spans="1:11">
      <c r="A15" s="10">
        <v>32</v>
      </c>
      <c r="B15" s="10">
        <v>159996</v>
      </c>
      <c r="C15" s="10" t="s">
        <v>458</v>
      </c>
      <c r="D15" s="10">
        <v>0.1046</v>
      </c>
      <c r="E15" s="10">
        <v>1.2265</v>
      </c>
      <c r="F15" s="10">
        <v>1.3548</v>
      </c>
      <c r="H15" s="11">
        <v>0.15</v>
      </c>
      <c r="I15" s="11">
        <v>-1.95</v>
      </c>
      <c r="J15" s="11">
        <v>13.46</v>
      </c>
      <c r="K15" s="11">
        <v>29.61</v>
      </c>
    </row>
    <row r="16" ht="15" spans="1:12">
      <c r="A16" s="10">
        <v>36</v>
      </c>
      <c r="B16" s="10">
        <v>159967</v>
      </c>
      <c r="C16" s="10" t="s">
        <v>169</v>
      </c>
      <c r="D16" s="10">
        <v>0.1027</v>
      </c>
      <c r="E16" s="10">
        <v>2.0592</v>
      </c>
      <c r="F16" s="10">
        <v>0.6241</v>
      </c>
      <c r="G16" s="11">
        <v>88.36</v>
      </c>
      <c r="H16" s="11">
        <v>4.45</v>
      </c>
      <c r="I16" s="11">
        <v>15.57</v>
      </c>
      <c r="J16" s="11">
        <v>23.03</v>
      </c>
      <c r="K16" s="11">
        <v>32.28</v>
      </c>
      <c r="L16" s="11">
        <v>88.9</v>
      </c>
    </row>
    <row r="21" ht="15" spans="3:11">
      <c r="C21" s="10">
        <v>512550</v>
      </c>
      <c r="D21" s="11">
        <v>30.35</v>
      </c>
      <c r="E21" s="11">
        <v>0.66</v>
      </c>
      <c r="F21" s="11">
        <v>3.49</v>
      </c>
      <c r="G21" s="11">
        <v>13.41</v>
      </c>
      <c r="H21" s="12">
        <v>28.7</v>
      </c>
      <c r="I21" s="11">
        <v>33.87</v>
      </c>
      <c r="J21" s="12">
        <v>89.77</v>
      </c>
      <c r="K21" s="11">
        <v>51.05</v>
      </c>
    </row>
    <row r="22" ht="15" spans="3:10">
      <c r="C22" s="10">
        <v>512150</v>
      </c>
      <c r="D22" s="12">
        <v>32.24</v>
      </c>
      <c r="E22" s="12">
        <v>0.78</v>
      </c>
      <c r="F22" s="12">
        <v>3.62</v>
      </c>
      <c r="G22" s="12">
        <v>13.59</v>
      </c>
      <c r="H22" s="11">
        <v>26.17</v>
      </c>
      <c r="I22" s="12">
        <v>35.72</v>
      </c>
      <c r="J22" s="11">
        <v>77.59</v>
      </c>
    </row>
    <row r="23" ht="15" spans="4:10">
      <c r="D23" s="11"/>
      <c r="E23" s="11"/>
      <c r="F23" s="11"/>
      <c r="G23" s="11"/>
      <c r="H23" s="11"/>
      <c r="I23" s="11"/>
      <c r="J23" s="14"/>
    </row>
    <row r="24" ht="15" spans="3:9">
      <c r="C24" s="13">
        <v>159975</v>
      </c>
      <c r="D24" s="12">
        <v>50.33</v>
      </c>
      <c r="E24" s="12">
        <v>2.46</v>
      </c>
      <c r="F24" s="12">
        <v>5.24</v>
      </c>
      <c r="G24" s="12">
        <v>16.61</v>
      </c>
      <c r="H24" s="12">
        <v>32.01</v>
      </c>
      <c r="I24" s="12">
        <v>54.13</v>
      </c>
    </row>
    <row r="25" ht="15" spans="3:10">
      <c r="C25" s="10">
        <v>159961</v>
      </c>
      <c r="D25" s="11">
        <v>45.93</v>
      </c>
      <c r="E25" s="11">
        <v>2.3</v>
      </c>
      <c r="F25" s="11">
        <v>5.01</v>
      </c>
      <c r="G25" s="11">
        <v>15.53</v>
      </c>
      <c r="H25" s="11">
        <v>28.9</v>
      </c>
      <c r="I25" s="11">
        <v>49.63</v>
      </c>
      <c r="J25" s="11">
        <v>125.56</v>
      </c>
    </row>
    <row r="26" ht="15" spans="3:12">
      <c r="C26" s="10">
        <v>159901</v>
      </c>
      <c r="D26" s="11">
        <v>44.95</v>
      </c>
      <c r="E26" s="11">
        <v>2.23</v>
      </c>
      <c r="F26" s="11">
        <v>4.83</v>
      </c>
      <c r="G26" s="11">
        <v>14.98</v>
      </c>
      <c r="H26" s="11">
        <v>27.69</v>
      </c>
      <c r="I26" s="11">
        <v>48.72</v>
      </c>
      <c r="J26" s="11">
        <v>124.96</v>
      </c>
      <c r="K26" s="11">
        <v>49.52</v>
      </c>
      <c r="L26" s="11">
        <v>57.75</v>
      </c>
    </row>
    <row r="28" ht="15" spans="3:8">
      <c r="C28" s="13">
        <v>515130</v>
      </c>
      <c r="E28" s="12">
        <v>1.06</v>
      </c>
      <c r="F28" s="12">
        <v>3</v>
      </c>
      <c r="G28" s="12">
        <v>12.89</v>
      </c>
      <c r="H28" s="12">
        <v>30.05</v>
      </c>
    </row>
    <row r="29" ht="15" spans="3:8">
      <c r="C29" s="13">
        <v>515350</v>
      </c>
      <c r="D29" s="11">
        <v>34.16</v>
      </c>
      <c r="E29" s="11">
        <v>1</v>
      </c>
      <c r="F29" s="11">
        <v>2.98</v>
      </c>
      <c r="G29" s="11">
        <v>12.45</v>
      </c>
      <c r="H29" s="12">
        <v>31.5</v>
      </c>
    </row>
    <row r="30" ht="15" spans="3:12">
      <c r="C30" s="10">
        <v>510310</v>
      </c>
      <c r="D30" s="11">
        <v>26.31</v>
      </c>
      <c r="E30" s="11">
        <v>0.86</v>
      </c>
      <c r="F30" s="11">
        <v>2.68</v>
      </c>
      <c r="G30" s="11">
        <v>10.53</v>
      </c>
      <c r="H30" s="11">
        <v>23.7</v>
      </c>
      <c r="I30" s="11">
        <v>29.66</v>
      </c>
      <c r="J30" s="11">
        <v>74.81</v>
      </c>
      <c r="K30" s="11">
        <v>33.59</v>
      </c>
      <c r="L30" s="11">
        <v>46.47</v>
      </c>
    </row>
    <row r="31" ht="15" spans="3:12">
      <c r="C31" s="10">
        <v>510300</v>
      </c>
      <c r="D31" s="11">
        <v>24.89</v>
      </c>
      <c r="E31" s="11">
        <v>0.83</v>
      </c>
      <c r="F31" s="11">
        <v>2.67</v>
      </c>
      <c r="G31" s="11">
        <v>10.31</v>
      </c>
      <c r="H31" s="11">
        <v>22.94</v>
      </c>
      <c r="I31" s="11">
        <v>28.19</v>
      </c>
      <c r="J31" s="11">
        <v>71.97</v>
      </c>
      <c r="K31" s="11">
        <v>30.79</v>
      </c>
      <c r="L31" s="11">
        <v>41.91</v>
      </c>
    </row>
    <row r="32" ht="15" spans="3:12">
      <c r="C32" s="10">
        <v>510330</v>
      </c>
      <c r="D32" s="11">
        <v>25.24</v>
      </c>
      <c r="E32" s="11">
        <v>0.83</v>
      </c>
      <c r="F32" s="11">
        <v>2.67</v>
      </c>
      <c r="G32" s="11">
        <v>10.36</v>
      </c>
      <c r="H32" s="11">
        <v>23.08</v>
      </c>
      <c r="I32" s="11">
        <v>28.54</v>
      </c>
      <c r="J32" s="11">
        <v>72.7</v>
      </c>
      <c r="K32" s="11">
        <v>31.41</v>
      </c>
      <c r="L32" s="11">
        <v>44.81</v>
      </c>
    </row>
    <row r="34" ht="15" spans="3:11">
      <c r="C34" s="10">
        <v>512000</v>
      </c>
      <c r="D34" s="11">
        <v>10.44</v>
      </c>
      <c r="E34" s="11">
        <v>-2.42</v>
      </c>
      <c r="F34" s="11">
        <v>-3.06</v>
      </c>
      <c r="G34" s="11">
        <v>-6.15</v>
      </c>
      <c r="H34" s="11">
        <v>13.78</v>
      </c>
      <c r="I34" s="11">
        <v>16.74</v>
      </c>
      <c r="J34" s="11">
        <v>61.92</v>
      </c>
      <c r="K34" s="11">
        <v>21.51</v>
      </c>
    </row>
  </sheetData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"/>
  <sheetViews>
    <sheetView tabSelected="1" topLeftCell="A10" workbookViewId="0">
      <selection activeCell="H21" sqref="H21"/>
    </sheetView>
  </sheetViews>
  <sheetFormatPr defaultColWidth="9" defaultRowHeight="13.5"/>
  <cols>
    <col min="1" max="4" width="9" style="1"/>
    <col min="5" max="5" width="9.375" style="1"/>
    <col min="6" max="9" width="9" style="1"/>
    <col min="10" max="10" width="9.375" style="1"/>
    <col min="11" max="16384" width="9" style="1"/>
  </cols>
  <sheetData>
    <row r="1" ht="15.75" spans="1:15">
      <c r="A1" s="1">
        <v>515130</v>
      </c>
      <c r="B1" s="2">
        <v>1</v>
      </c>
      <c r="C1" s="3" t="s">
        <v>434</v>
      </c>
      <c r="D1" s="4">
        <v>0.0483</v>
      </c>
      <c r="E1" s="2">
        <v>1268.06</v>
      </c>
      <c r="F1" s="1">
        <v>515350</v>
      </c>
      <c r="G1" s="2">
        <v>1</v>
      </c>
      <c r="H1" s="3" t="s">
        <v>434</v>
      </c>
      <c r="I1" s="4">
        <v>0.0504</v>
      </c>
      <c r="J1" s="2">
        <v>1001.1</v>
      </c>
      <c r="L1" s="2"/>
      <c r="M1" s="3"/>
      <c r="N1" s="4"/>
      <c r="O1" s="2"/>
    </row>
    <row r="2" ht="15.75" spans="2:15">
      <c r="B2" s="2">
        <v>2</v>
      </c>
      <c r="C2" s="3" t="s">
        <v>425</v>
      </c>
      <c r="D2" s="4">
        <v>0.0477</v>
      </c>
      <c r="E2" s="2">
        <v>1252.95</v>
      </c>
      <c r="G2" s="2">
        <v>2</v>
      </c>
      <c r="H2" s="3" t="s">
        <v>425</v>
      </c>
      <c r="I2" s="4">
        <v>0.049</v>
      </c>
      <c r="J2" s="2">
        <v>974.6</v>
      </c>
      <c r="L2" s="2"/>
      <c r="M2" s="9"/>
      <c r="N2" s="4"/>
      <c r="O2" s="2"/>
    </row>
    <row r="3" ht="15.75" spans="2:15">
      <c r="B3" s="2">
        <v>3</v>
      </c>
      <c r="C3" s="3" t="s">
        <v>431</v>
      </c>
      <c r="D3" s="4">
        <v>0.0248</v>
      </c>
      <c r="E3" s="2">
        <v>649.74</v>
      </c>
      <c r="G3" s="2">
        <v>3</v>
      </c>
      <c r="H3" s="3" t="s">
        <v>431</v>
      </c>
      <c r="I3" s="4">
        <v>0.0256</v>
      </c>
      <c r="J3" s="2">
        <v>508.3</v>
      </c>
      <c r="L3" s="2"/>
      <c r="M3" s="3"/>
      <c r="N3" s="4"/>
      <c r="O3" s="2"/>
    </row>
    <row r="4" ht="15.75" spans="2:15">
      <c r="B4" s="2">
        <v>4</v>
      </c>
      <c r="C4" s="3" t="s">
        <v>417</v>
      </c>
      <c r="D4" s="4">
        <v>0.0214</v>
      </c>
      <c r="E4" s="2">
        <v>560.52</v>
      </c>
      <c r="G4" s="2">
        <v>4</v>
      </c>
      <c r="H4" s="3" t="s">
        <v>417</v>
      </c>
      <c r="I4" s="4">
        <v>0.022</v>
      </c>
      <c r="J4" s="2">
        <v>438.12</v>
      </c>
      <c r="L4" s="2"/>
      <c r="M4" s="9"/>
      <c r="N4" s="4"/>
      <c r="O4" s="2"/>
    </row>
    <row r="5" ht="15.75" spans="2:15">
      <c r="B5" s="2">
        <v>5</v>
      </c>
      <c r="C5" s="3" t="s">
        <v>426</v>
      </c>
      <c r="D5" s="4">
        <v>0.0205</v>
      </c>
      <c r="E5" s="2">
        <v>539.42</v>
      </c>
      <c r="G5" s="2">
        <v>5</v>
      </c>
      <c r="H5" s="3" t="s">
        <v>426</v>
      </c>
      <c r="I5" s="4">
        <v>0.0211</v>
      </c>
      <c r="J5" s="2">
        <v>419.95</v>
      </c>
      <c r="L5" s="2"/>
      <c r="M5" s="9"/>
      <c r="N5" s="4"/>
      <c r="O5" s="2"/>
    </row>
    <row r="6" ht="15.75" spans="2:15">
      <c r="B6" s="2">
        <v>6</v>
      </c>
      <c r="C6" s="3" t="s">
        <v>428</v>
      </c>
      <c r="D6" s="4">
        <v>0.0193</v>
      </c>
      <c r="E6" s="2">
        <v>506.41</v>
      </c>
      <c r="G6" s="2">
        <v>6</v>
      </c>
      <c r="H6" s="3" t="s">
        <v>428</v>
      </c>
      <c r="I6" s="4">
        <v>0.0198</v>
      </c>
      <c r="J6" s="2">
        <v>393.57</v>
      </c>
      <c r="L6" s="2"/>
      <c r="M6" s="9"/>
      <c r="N6" s="4"/>
      <c r="O6" s="2"/>
    </row>
    <row r="7" ht="15.75" spans="2:15">
      <c r="B7" s="2">
        <v>7</v>
      </c>
      <c r="C7" s="3" t="s">
        <v>422</v>
      </c>
      <c r="D7" s="4">
        <v>0.0148</v>
      </c>
      <c r="E7" s="2">
        <v>389.09</v>
      </c>
      <c r="G7" s="2">
        <v>7</v>
      </c>
      <c r="H7" s="3" t="s">
        <v>422</v>
      </c>
      <c r="I7" s="4">
        <v>0.0152</v>
      </c>
      <c r="J7" s="2">
        <v>302.72</v>
      </c>
      <c r="L7" s="2"/>
      <c r="M7" s="9"/>
      <c r="N7" s="4"/>
      <c r="O7" s="2"/>
    </row>
    <row r="8" ht="15.75" spans="2:15">
      <c r="B8" s="2">
        <v>8</v>
      </c>
      <c r="C8" s="3" t="s">
        <v>415</v>
      </c>
      <c r="D8" s="4">
        <v>0.0147</v>
      </c>
      <c r="E8" s="2">
        <v>386.19</v>
      </c>
      <c r="G8" s="2">
        <v>8</v>
      </c>
      <c r="H8" s="3" t="s">
        <v>415</v>
      </c>
      <c r="I8" s="4">
        <v>0.0152</v>
      </c>
      <c r="J8" s="2">
        <v>302.1</v>
      </c>
      <c r="L8" s="2"/>
      <c r="M8" s="9"/>
      <c r="N8" s="4"/>
      <c r="O8" s="2"/>
    </row>
    <row r="9" ht="15.75" spans="2:15">
      <c r="B9" s="2">
        <v>9</v>
      </c>
      <c r="C9" s="3" t="s">
        <v>420</v>
      </c>
      <c r="D9" s="4">
        <v>0.0138</v>
      </c>
      <c r="E9" s="2">
        <v>363.4</v>
      </c>
      <c r="G9" s="2">
        <v>9</v>
      </c>
      <c r="H9" s="3" t="s">
        <v>420</v>
      </c>
      <c r="I9" s="4">
        <v>0.0142</v>
      </c>
      <c r="J9" s="2">
        <v>282.67</v>
      </c>
      <c r="L9" s="2"/>
      <c r="M9" s="3"/>
      <c r="N9" s="4"/>
      <c r="O9" s="2"/>
    </row>
    <row r="10" ht="15.75" spans="2:15">
      <c r="B10" s="2">
        <v>10</v>
      </c>
      <c r="C10" s="3" t="s">
        <v>416</v>
      </c>
      <c r="D10" s="4">
        <v>0.0135</v>
      </c>
      <c r="E10" s="2">
        <v>354.2</v>
      </c>
      <c r="G10" s="2">
        <v>10</v>
      </c>
      <c r="H10" s="3" t="s">
        <v>416</v>
      </c>
      <c r="I10" s="4">
        <v>0.0139</v>
      </c>
      <c r="J10" s="2">
        <v>276.05</v>
      </c>
      <c r="L10" s="2"/>
      <c r="M10" s="9"/>
      <c r="N10" s="4"/>
      <c r="O10" s="2"/>
    </row>
    <row r="12" ht="15.75" spans="2:10">
      <c r="B12" s="5">
        <v>1</v>
      </c>
      <c r="C12" s="6" t="s">
        <v>428</v>
      </c>
      <c r="D12" s="7">
        <v>0.0922</v>
      </c>
      <c r="E12" s="5">
        <v>41369.81</v>
      </c>
      <c r="G12" s="5">
        <v>1</v>
      </c>
      <c r="H12" s="8" t="s">
        <v>436</v>
      </c>
      <c r="I12" s="7">
        <v>0.1049</v>
      </c>
      <c r="J12" s="5">
        <v>13267.53</v>
      </c>
    </row>
    <row r="13" ht="15.75" spans="2:10">
      <c r="B13" s="5">
        <v>2</v>
      </c>
      <c r="C13" s="6" t="s">
        <v>459</v>
      </c>
      <c r="D13" s="7">
        <v>0.088</v>
      </c>
      <c r="E13" s="5">
        <v>39489.65</v>
      </c>
      <c r="G13" s="5">
        <v>2</v>
      </c>
      <c r="H13" s="6" t="s">
        <v>459</v>
      </c>
      <c r="I13" s="7">
        <v>0.1037</v>
      </c>
      <c r="J13" s="5">
        <v>13121.82</v>
      </c>
    </row>
    <row r="14" ht="15.75" spans="2:10">
      <c r="B14" s="5">
        <v>3</v>
      </c>
      <c r="C14" s="6" t="s">
        <v>460</v>
      </c>
      <c r="D14" s="7">
        <v>0.0874</v>
      </c>
      <c r="E14" s="5">
        <v>39230.37</v>
      </c>
      <c r="G14" s="5">
        <v>3</v>
      </c>
      <c r="H14" s="8" t="s">
        <v>461</v>
      </c>
      <c r="I14" s="7">
        <v>0.102</v>
      </c>
      <c r="J14" s="5">
        <v>12904.59</v>
      </c>
    </row>
    <row r="15" ht="15.75" spans="2:10">
      <c r="B15" s="5">
        <v>4</v>
      </c>
      <c r="C15" s="6" t="s">
        <v>462</v>
      </c>
      <c r="D15" s="7">
        <v>0.0744</v>
      </c>
      <c r="E15" s="5">
        <v>33384.12</v>
      </c>
      <c r="G15" s="5">
        <v>4</v>
      </c>
      <c r="H15" s="6" t="s">
        <v>463</v>
      </c>
      <c r="I15" s="7">
        <v>0.0532</v>
      </c>
      <c r="J15" s="5">
        <v>6730.83</v>
      </c>
    </row>
    <row r="16" ht="15.75" spans="2:10">
      <c r="B16" s="5">
        <v>5</v>
      </c>
      <c r="C16" s="6" t="s">
        <v>464</v>
      </c>
      <c r="D16" s="7">
        <v>0.0652</v>
      </c>
      <c r="E16" s="5">
        <v>29287.63</v>
      </c>
      <c r="G16" s="5">
        <v>5</v>
      </c>
      <c r="H16" s="8" t="s">
        <v>465</v>
      </c>
      <c r="I16" s="7">
        <v>0.0415</v>
      </c>
      <c r="J16" s="5">
        <v>5249.78</v>
      </c>
    </row>
    <row r="17" ht="15.75" spans="2:10">
      <c r="B17" s="5">
        <v>6</v>
      </c>
      <c r="C17" s="8" t="s">
        <v>466</v>
      </c>
      <c r="D17" s="7">
        <v>0.051</v>
      </c>
      <c r="E17" s="5">
        <v>22905.89</v>
      </c>
      <c r="G17" s="5">
        <v>6</v>
      </c>
      <c r="H17" s="8" t="s">
        <v>467</v>
      </c>
      <c r="I17" s="7">
        <v>0.0414</v>
      </c>
      <c r="J17" s="5">
        <v>5239.78</v>
      </c>
    </row>
    <row r="18" ht="15.75" spans="2:10">
      <c r="B18" s="5">
        <v>7</v>
      </c>
      <c r="C18" s="8" t="s">
        <v>468</v>
      </c>
      <c r="D18" s="7">
        <v>0.0496</v>
      </c>
      <c r="E18" s="5">
        <v>22241.47</v>
      </c>
      <c r="G18" s="5">
        <v>7</v>
      </c>
      <c r="H18" s="8" t="s">
        <v>469</v>
      </c>
      <c r="I18" s="7">
        <v>0.0392</v>
      </c>
      <c r="J18" s="5">
        <v>4963.96</v>
      </c>
    </row>
    <row r="19" ht="15.75" spans="2:10">
      <c r="B19" s="5">
        <v>8</v>
      </c>
      <c r="C19" s="8" t="s">
        <v>463</v>
      </c>
      <c r="D19" s="7">
        <v>0.0451</v>
      </c>
      <c r="E19" s="5">
        <v>20233.05</v>
      </c>
      <c r="G19" s="5">
        <v>8</v>
      </c>
      <c r="H19" s="8" t="s">
        <v>470</v>
      </c>
      <c r="I19" s="7">
        <v>0.0335</v>
      </c>
      <c r="J19" s="5">
        <v>4232.05</v>
      </c>
    </row>
    <row r="20" ht="15.75" spans="2:10">
      <c r="B20" s="5">
        <v>9</v>
      </c>
      <c r="C20" s="8" t="s">
        <v>467</v>
      </c>
      <c r="D20" s="7">
        <v>0.0351</v>
      </c>
      <c r="E20" s="5">
        <v>15741.95</v>
      </c>
      <c r="G20" s="5">
        <v>9</v>
      </c>
      <c r="H20" s="8" t="s">
        <v>471</v>
      </c>
      <c r="I20" s="7">
        <v>0.0286</v>
      </c>
      <c r="J20" s="5">
        <v>3621.94</v>
      </c>
    </row>
    <row r="21" ht="15.75" spans="2:10">
      <c r="B21" s="5">
        <v>10</v>
      </c>
      <c r="C21" s="8" t="s">
        <v>472</v>
      </c>
      <c r="D21" s="7">
        <v>0.0305</v>
      </c>
      <c r="E21" s="5">
        <v>13704.3</v>
      </c>
      <c r="G21" s="5">
        <v>10</v>
      </c>
      <c r="H21" s="8" t="s">
        <v>473</v>
      </c>
      <c r="I21" s="7">
        <v>0.0236</v>
      </c>
      <c r="J21" s="5">
        <v>2989.3</v>
      </c>
    </row>
    <row r="22" ht="15.75" spans="2:9">
      <c r="B22" s="5"/>
      <c r="C22" s="8"/>
      <c r="D22" s="7"/>
      <c r="E22" s="5"/>
      <c r="F22" s="5"/>
      <c r="G22" s="8"/>
      <c r="H22" s="7"/>
      <c r="I22" s="5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Sheet4</vt:lpstr>
      <vt:lpstr>Sheet3</vt:lpstr>
      <vt:lpstr>Sheet5</vt:lpstr>
      <vt:lpstr>Sheet6</vt:lpstr>
      <vt:lpstr>Sheet7</vt:lpstr>
      <vt:lpstr>Sheet8</vt:lpstr>
      <vt:lpstr>Sheet10</vt:lpstr>
      <vt:lpstr>Sheet11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易双荣</cp:lastModifiedBy>
  <dcterms:created xsi:type="dcterms:W3CDTF">2020-12-18T09:20:00Z</dcterms:created>
  <dcterms:modified xsi:type="dcterms:W3CDTF">2021-01-04T09:47:14Z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