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40" windowHeight="10005" firstSheet="7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6" r:id="rId6"/>
    <sheet name="Sheet8" sheetId="7" r:id="rId7"/>
    <sheet name="Sheet9" sheetId="8" r:id="rId8"/>
    <sheet name="Sheet10" sheetId="9" r:id="rId9"/>
    <sheet name="Sheet6" sheetId="10" r:id="rId10"/>
    <sheet name="Sheet11" sheetId="11" r:id="rId11"/>
    <sheet name="Sheet12" sheetId="12" r:id="rId12"/>
    <sheet name="Sheet13" sheetId="13" r:id="rId13"/>
    <sheet name="Sheet14" sheetId="14" r:id="rId14"/>
    <sheet name="Sheet16" sheetId="15" r:id="rId15"/>
  </sheets>
  <definedNames>
    <definedName name="_xlnm._FilterDatabase" localSheetId="14" hidden="1">Sheet16!$A$1:$E$16</definedName>
  </definedNames>
  <calcPr calcId="144525"/>
</workbook>
</file>

<file path=xl/sharedStrings.xml><?xml version="1.0" encoding="utf-8"?>
<sst xmlns="http://schemas.openxmlformats.org/spreadsheetml/2006/main" count="1130">
  <si>
    <t>表头</t>
  </si>
  <si>
    <t>策略</t>
  </si>
  <si>
    <t>板块</t>
  </si>
  <si>
    <t>名称/细分类</t>
  </si>
  <si>
    <t>归属公司</t>
  </si>
  <si>
    <t>代码</t>
  </si>
  <si>
    <t>层数</t>
  </si>
  <si>
    <t>操作</t>
  </si>
  <si>
    <t>行业类 50%</t>
  </si>
  <si>
    <t>长期止盈</t>
  </si>
  <si>
    <t>大盘</t>
  </si>
  <si>
    <t>易方达上证50指数C</t>
  </si>
  <si>
    <t>易方达</t>
  </si>
  <si>
    <t>004746</t>
  </si>
  <si>
    <t>广发沪深300指数增强C</t>
  </si>
  <si>
    <t>广发</t>
  </si>
  <si>
    <t>006021</t>
  </si>
  <si>
    <t>1.3</t>
  </si>
  <si>
    <t>申万菱信中证500指数增强C</t>
  </si>
  <si>
    <t>申万菱信</t>
  </si>
  <si>
    <t>007795</t>
  </si>
  <si>
    <t>1</t>
  </si>
  <si>
    <t xml:space="preserve">天弘创业板ETF联接C </t>
  </si>
  <si>
    <t>天弘</t>
  </si>
  <si>
    <t>001593</t>
  </si>
  <si>
    <t>消费</t>
  </si>
  <si>
    <t>招商中证白酒</t>
  </si>
  <si>
    <t>招商</t>
  </si>
  <si>
    <t>2年</t>
  </si>
  <si>
    <t>2</t>
  </si>
  <si>
    <t>广发中证全指家用电器指数C</t>
  </si>
  <si>
    <t>005064</t>
  </si>
  <si>
    <t>7天</t>
  </si>
  <si>
    <t>中欧品质消费股票</t>
  </si>
  <si>
    <t>中欧</t>
  </si>
  <si>
    <t>005620/005621</t>
  </si>
  <si>
    <t>医疗</t>
  </si>
  <si>
    <t>中欧医疗创新股票C</t>
  </si>
  <si>
    <t>006229</t>
  </si>
  <si>
    <t>30天</t>
  </si>
  <si>
    <t>11</t>
  </si>
  <si>
    <t>工银前沿医疗股票</t>
  </si>
  <si>
    <t>工银</t>
  </si>
  <si>
    <t>001717</t>
  </si>
  <si>
    <t>科技</t>
  </si>
  <si>
    <t>半导体芯片</t>
  </si>
  <si>
    <t>诺安</t>
  </si>
  <si>
    <t>320007</t>
  </si>
  <si>
    <t>17</t>
  </si>
  <si>
    <t>芯片ETF</t>
  </si>
  <si>
    <t>008887</t>
  </si>
  <si>
    <t>4</t>
  </si>
  <si>
    <t>T</t>
  </si>
  <si>
    <t>华宝科技ETF联接C</t>
  </si>
  <si>
    <t>华宝</t>
  </si>
  <si>
    <t>007874</t>
  </si>
  <si>
    <t>信达澳银新能源产业股票</t>
  </si>
  <si>
    <t>信达澳银</t>
  </si>
  <si>
    <t>001410</t>
  </si>
  <si>
    <t>消费电子</t>
  </si>
  <si>
    <t>易方达新兴成长</t>
  </si>
  <si>
    <t>000404</t>
  </si>
  <si>
    <t>新能源</t>
  </si>
  <si>
    <t>申万菱信新能源汽车混合</t>
  </si>
  <si>
    <t>001156</t>
  </si>
  <si>
    <t>广发高端制造股票/光伏</t>
  </si>
  <si>
    <t>004997</t>
  </si>
  <si>
    <t>3.2</t>
  </si>
  <si>
    <t>券商</t>
  </si>
  <si>
    <t>华宝券商C</t>
  </si>
  <si>
    <t>007531</t>
  </si>
  <si>
    <t>农业</t>
  </si>
  <si>
    <t>银华农业产品股票</t>
  </si>
  <si>
    <t>银华</t>
  </si>
  <si>
    <t>005106</t>
  </si>
  <si>
    <t>传媒</t>
  </si>
  <si>
    <t>广发中证传媒ETF联接C</t>
  </si>
  <si>
    <t>004753</t>
  </si>
  <si>
    <t>环保</t>
  </si>
  <si>
    <t>汇添富中证环境治理</t>
  </si>
  <si>
    <t>汇添富</t>
  </si>
  <si>
    <t>501031/501030</t>
  </si>
  <si>
    <t>2.5</t>
  </si>
  <si>
    <t>基建</t>
  </si>
  <si>
    <t>广发中证建筑材料指数C</t>
  </si>
  <si>
    <t>004857</t>
  </si>
  <si>
    <t>5.5</t>
  </si>
  <si>
    <t>全车</t>
  </si>
  <si>
    <t>广发全车指数</t>
  </si>
  <si>
    <t>004855</t>
  </si>
  <si>
    <t>钢铁</t>
  </si>
  <si>
    <t>国泰中证钢铁</t>
  </si>
  <si>
    <t>国泰</t>
  </si>
  <si>
    <t>008190</t>
  </si>
  <si>
    <t>煤炭</t>
  </si>
  <si>
    <t>国泰中证煤炭ETF联接C</t>
  </si>
  <si>
    <t>008280</t>
  </si>
  <si>
    <t>军工</t>
  </si>
  <si>
    <t>广发中证军工</t>
  </si>
  <si>
    <t>005693</t>
  </si>
  <si>
    <t>有色金属</t>
  </si>
  <si>
    <t>国泰国证有色金属行业指数分级</t>
  </si>
  <si>
    <t>160221</t>
  </si>
  <si>
    <t>1.5</t>
  </si>
  <si>
    <t>资源能源</t>
  </si>
  <si>
    <t>前海开源沪港深核心资源混合C</t>
  </si>
  <si>
    <t>前海开源</t>
  </si>
  <si>
    <t>003305</t>
  </si>
  <si>
    <t>华夏沪港通恒生ETF联接C</t>
  </si>
  <si>
    <t>华夏</t>
  </si>
  <si>
    <t>005734</t>
  </si>
  <si>
    <t>9</t>
  </si>
  <si>
    <t>汇添富全球互联混合</t>
  </si>
  <si>
    <t>001668</t>
  </si>
  <si>
    <t>广发纳斯达克100指数A</t>
  </si>
  <si>
    <t>270042/006479</t>
  </si>
  <si>
    <t>3</t>
  </si>
  <si>
    <t>合计</t>
  </si>
  <si>
    <t>中欧新蓝筹混合A</t>
  </si>
  <si>
    <t>166002</t>
  </si>
  <si>
    <t>中欧明睿新常态混合A</t>
  </si>
  <si>
    <t>001811</t>
  </si>
  <si>
    <t>兴全商业模式优选混合</t>
  </si>
  <si>
    <t>兴全</t>
  </si>
  <si>
    <t>163415</t>
  </si>
  <si>
    <t>兴全趋势投资</t>
  </si>
  <si>
    <t>163402</t>
  </si>
  <si>
    <t>兴全合润分级混合</t>
  </si>
  <si>
    <t>163406</t>
  </si>
  <si>
    <t>易方达蓝筹精选混合</t>
  </si>
  <si>
    <t>005827</t>
  </si>
  <si>
    <t>0.5</t>
  </si>
  <si>
    <t>易方达中小盘</t>
  </si>
  <si>
    <t>110011</t>
  </si>
  <si>
    <t>景顺长城绩优成长混合</t>
  </si>
  <si>
    <t>007412</t>
  </si>
  <si>
    <t>景顺长城新兴成长</t>
  </si>
  <si>
    <t>景顺</t>
  </si>
  <si>
    <t>260108</t>
  </si>
  <si>
    <t>富国新动力A</t>
  </si>
  <si>
    <t>富国</t>
  </si>
  <si>
    <t>001508</t>
  </si>
  <si>
    <t>嘉实新兴产业股票</t>
  </si>
  <si>
    <t>000751</t>
  </si>
  <si>
    <t>交银新生活力灵活配置混合</t>
  </si>
  <si>
    <t>交银</t>
  </si>
  <si>
    <t>519772</t>
  </si>
  <si>
    <t>交银双息平衡</t>
  </si>
  <si>
    <t>519732</t>
  </si>
  <si>
    <t>宝盈鸿利灵活配置</t>
  </si>
  <si>
    <t>宝盈</t>
  </si>
  <si>
    <t>213001</t>
  </si>
  <si>
    <t>融通行业景气混合</t>
  </si>
  <si>
    <t>融通</t>
  </si>
  <si>
    <t>161606</t>
  </si>
  <si>
    <t>前海开源中国稀缺资产灵活配置混合C</t>
  </si>
  <si>
    <t>002079/001102</t>
  </si>
  <si>
    <t>国泰聚信价值优势灵活</t>
  </si>
  <si>
    <t>000363</t>
  </si>
  <si>
    <t>鹏华新兴产业</t>
  </si>
  <si>
    <t>鹏华</t>
  </si>
  <si>
    <t>206009</t>
  </si>
  <si>
    <t>广发稳健增长A</t>
  </si>
  <si>
    <t>270002</t>
  </si>
  <si>
    <t>南方优选成长</t>
  </si>
  <si>
    <t>202023</t>
  </si>
  <si>
    <t>中欧创新成长灵活配置混合A</t>
  </si>
  <si>
    <t>005275</t>
  </si>
  <si>
    <r>
      <rPr>
        <sz val="11"/>
        <rFont val="宋体"/>
        <charset val="134"/>
        <scheme val="minor"/>
      </rPr>
      <t>主动管理</t>
    </r>
    <r>
      <rPr>
        <sz val="11"/>
        <color rgb="FFFF0000"/>
        <rFont val="宋体"/>
        <charset val="134"/>
        <scheme val="minor"/>
      </rPr>
      <t>兴全</t>
    </r>
    <r>
      <rPr>
        <sz val="11"/>
        <rFont val="宋体"/>
        <charset val="134"/>
        <scheme val="minor"/>
      </rPr>
      <t>，权益投资</t>
    </r>
  </si>
  <si>
    <r>
      <rPr>
        <sz val="11"/>
        <rFont val="宋体"/>
        <charset val="134"/>
        <scheme val="minor"/>
      </rPr>
      <t>价值投资</t>
    </r>
    <r>
      <rPr>
        <sz val="11"/>
        <color rgb="FFFF0000"/>
        <rFont val="宋体"/>
        <charset val="134"/>
        <scheme val="minor"/>
      </rPr>
      <t>东方</t>
    </r>
    <r>
      <rPr>
        <sz val="11"/>
        <rFont val="宋体"/>
        <charset val="134"/>
        <scheme val="minor"/>
      </rPr>
      <t>，PB-ROE</t>
    </r>
    <r>
      <rPr>
        <sz val="11"/>
        <color rgb="FFFF0000"/>
        <rFont val="宋体"/>
        <charset val="134"/>
        <scheme val="minor"/>
      </rPr>
      <t>汇丰</t>
    </r>
  </si>
  <si>
    <r>
      <rPr>
        <sz val="11"/>
        <rFont val="宋体"/>
        <charset val="134"/>
        <scheme val="minor"/>
      </rPr>
      <t>低费率指数</t>
    </r>
    <r>
      <rPr>
        <sz val="11"/>
        <color rgb="FFFF0000"/>
        <rFont val="宋体"/>
        <charset val="134"/>
        <scheme val="minor"/>
      </rPr>
      <t>天弘</t>
    </r>
  </si>
  <si>
    <r>
      <rPr>
        <sz val="11"/>
        <rFont val="宋体"/>
        <charset val="134"/>
        <scheme val="minor"/>
      </rPr>
      <t>ETF</t>
    </r>
    <r>
      <rPr>
        <sz val="11"/>
        <color rgb="FFFF0000"/>
        <rFont val="宋体"/>
        <charset val="134"/>
        <scheme val="minor"/>
      </rPr>
      <t>华夏</t>
    </r>
  </si>
  <si>
    <r>
      <rPr>
        <sz val="11"/>
        <color rgb="FFFF0000"/>
        <rFont val="宋体"/>
        <charset val="134"/>
        <scheme val="minor"/>
      </rPr>
      <t>华泰景顺和富国</t>
    </r>
    <r>
      <rPr>
        <sz val="11"/>
        <rFont val="宋体"/>
        <charset val="134"/>
        <scheme val="minor"/>
      </rPr>
      <t>，量化增强</t>
    </r>
  </si>
  <si>
    <r>
      <rPr>
        <sz val="11"/>
        <rFont val="宋体"/>
        <charset val="134"/>
        <scheme val="minor"/>
      </rPr>
      <t>量化对冲</t>
    </r>
    <r>
      <rPr>
        <sz val="11"/>
        <color rgb="FFFF0000"/>
        <rFont val="宋体"/>
        <charset val="134"/>
        <scheme val="minor"/>
      </rPr>
      <t>海富通</t>
    </r>
  </si>
  <si>
    <r>
      <rPr>
        <sz val="11"/>
        <rFont val="宋体"/>
        <charset val="134"/>
        <scheme val="minor"/>
      </rPr>
      <t>目标基金找</t>
    </r>
    <r>
      <rPr>
        <sz val="11"/>
        <color rgb="FFFF0000"/>
        <rFont val="宋体"/>
        <charset val="134"/>
        <scheme val="minor"/>
      </rPr>
      <t>中欧</t>
    </r>
  </si>
  <si>
    <r>
      <rPr>
        <sz val="11"/>
        <color rgb="FFFF0000"/>
        <rFont val="宋体"/>
        <charset val="134"/>
        <scheme val="minor"/>
      </rPr>
      <t>长安</t>
    </r>
    <r>
      <rPr>
        <sz val="11"/>
        <rFont val="宋体"/>
        <charset val="134"/>
        <scheme val="minor"/>
      </rPr>
      <t>绝对收益</t>
    </r>
  </si>
  <si>
    <t>备选</t>
  </si>
  <si>
    <t>code</t>
  </si>
  <si>
    <t>size</t>
  </si>
  <si>
    <t>control</t>
  </si>
  <si>
    <t>p</t>
  </si>
  <si>
    <t>Fluctuation</t>
  </si>
  <si>
    <t>year</t>
  </si>
  <si>
    <t>G</t>
  </si>
  <si>
    <t>B</t>
  </si>
  <si>
    <t>001102</t>
  </si>
  <si>
    <t>贵州茅台</t>
  </si>
  <si>
    <t>香港交易所</t>
  </si>
  <si>
    <t>广联达</t>
  </si>
  <si>
    <t>歌尔股份</t>
  </si>
  <si>
    <t>腾讯控股</t>
  </si>
  <si>
    <t>通策医疗</t>
  </si>
  <si>
    <t>英科医疗</t>
  </si>
  <si>
    <t>五粮液</t>
  </si>
  <si>
    <t>恒生电子</t>
  </si>
  <si>
    <t>顺鑫农业</t>
  </si>
  <si>
    <t>华测检测</t>
  </si>
  <si>
    <t>宁德时代</t>
  </si>
  <si>
    <t>泸州老窖</t>
  </si>
  <si>
    <t>国瓷材料</t>
  </si>
  <si>
    <t>长春高新</t>
  </si>
  <si>
    <t>美团点评</t>
  </si>
  <si>
    <t>汇川技术</t>
  </si>
  <si>
    <t>片仔癀</t>
  </si>
  <si>
    <t>中国生物制药有限公司</t>
  </si>
  <si>
    <t>迈瑞医疗</t>
  </si>
  <si>
    <t>益丰药房</t>
  </si>
  <si>
    <t>药明生物</t>
  </si>
  <si>
    <t>中兴通讯</t>
  </si>
  <si>
    <t>泰格医药</t>
  </si>
  <si>
    <t>天坛生物</t>
  </si>
  <si>
    <t>我武生物</t>
  </si>
  <si>
    <t>集友股份</t>
  </si>
  <si>
    <t>爱尔眼科</t>
  </si>
  <si>
    <t>三安光电</t>
  </si>
  <si>
    <t>云南白药</t>
  </si>
  <si>
    <t>亿联网络</t>
  </si>
  <si>
    <t>芒果超媒</t>
  </si>
  <si>
    <t>光威复材</t>
  </si>
  <si>
    <r>
      <rPr>
        <sz val="10.5"/>
        <rFont val="宋体"/>
        <charset val="134"/>
      </rPr>
      <t>万科</t>
    </r>
    <r>
      <rPr>
        <sz val="10.5"/>
        <rFont val="Segoe UI"/>
        <charset val="134"/>
      </rPr>
      <t>A</t>
    </r>
  </si>
  <si>
    <t>健帆生物</t>
  </si>
  <si>
    <t>中国平安</t>
  </si>
  <si>
    <t>坤彩科技</t>
  </si>
  <si>
    <t>南洋股份</t>
  </si>
  <si>
    <t>东方日升</t>
  </si>
  <si>
    <t>隆基股份</t>
  </si>
  <si>
    <t>创业慧康</t>
  </si>
  <si>
    <t>紫光股份</t>
  </si>
  <si>
    <t>捷佳伟创</t>
  </si>
  <si>
    <t>垒知集团</t>
  </si>
  <si>
    <t>立讯精密</t>
  </si>
  <si>
    <t>紫金矿业</t>
  </si>
  <si>
    <t>康泰生物</t>
  </si>
  <si>
    <t>颐海国际控股有限公司</t>
  </si>
  <si>
    <t>顺丰控股</t>
  </si>
  <si>
    <t>恒瑞医药</t>
  </si>
  <si>
    <t>绝味食品</t>
  </si>
  <si>
    <t>视源股份</t>
  </si>
  <si>
    <t>海尔智家</t>
  </si>
  <si>
    <t>三花智控</t>
  </si>
  <si>
    <t>中国中免</t>
  </si>
  <si>
    <t>三七互娱</t>
  </si>
  <si>
    <t>东方雨虹</t>
  </si>
  <si>
    <t>中国飞鹤有限公司</t>
  </si>
  <si>
    <t>中公教育</t>
  </si>
  <si>
    <t>信义光能</t>
  </si>
  <si>
    <t>中天科技</t>
  </si>
  <si>
    <t>永辉超市</t>
  </si>
  <si>
    <t>山西汾酒</t>
  </si>
  <si>
    <t>三一重工</t>
  </si>
  <si>
    <t>南极电商</t>
  </si>
  <si>
    <t>保利地产</t>
  </si>
  <si>
    <t>药明康德</t>
  </si>
  <si>
    <t>海天味业</t>
  </si>
  <si>
    <t>宋城演艺</t>
  </si>
  <si>
    <t>安井食品</t>
  </si>
  <si>
    <t>美的集团</t>
  </si>
  <si>
    <t>鼎龙股份</t>
  </si>
  <si>
    <t>水晶光电</t>
  </si>
  <si>
    <t>珀莱雅</t>
  </si>
  <si>
    <t>金山办公</t>
  </si>
  <si>
    <t>美年健康</t>
  </si>
  <si>
    <t>深信服</t>
  </si>
  <si>
    <t>双汇发展</t>
  </si>
  <si>
    <t>赣锋锂业</t>
  </si>
  <si>
    <t>海大集团</t>
  </si>
  <si>
    <t>上海机场</t>
  </si>
  <si>
    <t>山东黄金</t>
  </si>
  <si>
    <t>重庆啤酒</t>
  </si>
  <si>
    <t>华兰生物</t>
  </si>
  <si>
    <t>洽洽食品</t>
  </si>
  <si>
    <t>掌趣科技</t>
  </si>
  <si>
    <t>伊利股份</t>
  </si>
  <si>
    <t>丽珠集团</t>
  </si>
  <si>
    <t>万华化学</t>
  </si>
  <si>
    <t>苏泊尔</t>
  </si>
  <si>
    <t>风华高科</t>
  </si>
  <si>
    <t>家家悦</t>
  </si>
  <si>
    <t>宇通客车</t>
  </si>
  <si>
    <t>中材科技</t>
  </si>
  <si>
    <t>长青集团</t>
  </si>
  <si>
    <t>中南建设</t>
  </si>
  <si>
    <t>宁波银行</t>
  </si>
  <si>
    <t>一心堂</t>
  </si>
  <si>
    <t>凯莱英</t>
  </si>
  <si>
    <t>吉比特</t>
  </si>
  <si>
    <t>000977</t>
  </si>
  <si>
    <t>建设机械</t>
  </si>
  <si>
    <t>欧菲光</t>
  </si>
  <si>
    <t>007484</t>
  </si>
  <si>
    <t>长盈精密</t>
  </si>
  <si>
    <t>安车检测</t>
  </si>
  <si>
    <t>福斯特</t>
  </si>
  <si>
    <t>鹏鼎控股</t>
  </si>
  <si>
    <t>京东方A</t>
  </si>
  <si>
    <t>坚朗五金</t>
  </si>
  <si>
    <t>创世纪</t>
  </si>
  <si>
    <t>浪潮信息</t>
  </si>
  <si>
    <t>欣旺达</t>
  </si>
  <si>
    <t>东方财富</t>
  </si>
  <si>
    <t>格力电器</t>
  </si>
  <si>
    <t>顺络电子</t>
  </si>
  <si>
    <t>爱乐达</t>
  </si>
  <si>
    <t>德赛电池</t>
  </si>
  <si>
    <t>长安汽车</t>
  </si>
  <si>
    <t>长川科技</t>
  </si>
  <si>
    <t>长信科技</t>
  </si>
  <si>
    <t>鸿路钢构</t>
  </si>
  <si>
    <t>兆驰股份</t>
  </si>
  <si>
    <t>001606</t>
  </si>
  <si>
    <t>应流股份</t>
  </si>
  <si>
    <t>亿纬锂能</t>
  </si>
  <si>
    <t>天味食品</t>
  </si>
  <si>
    <t>欧普康视</t>
  </si>
  <si>
    <t>通威股份</t>
  </si>
  <si>
    <t>新宙邦</t>
  </si>
  <si>
    <t>锦浪科技</t>
  </si>
  <si>
    <t>阳光电源</t>
  </si>
  <si>
    <t>璞泰来</t>
  </si>
  <si>
    <t>先导智能</t>
  </si>
  <si>
    <t>爱旭股份</t>
  </si>
  <si>
    <t>恒顺醋业</t>
  </si>
  <si>
    <t>振华科技</t>
  </si>
  <si>
    <t>科达利</t>
  </si>
  <si>
    <t>拓普集团</t>
  </si>
  <si>
    <t>漫步者</t>
  </si>
  <si>
    <t>威华股份</t>
  </si>
  <si>
    <t>000991</t>
  </si>
  <si>
    <t>林洋能源</t>
  </si>
  <si>
    <t>002079</t>
  </si>
  <si>
    <t>005911</t>
  </si>
  <si>
    <t>天能重工</t>
  </si>
  <si>
    <t>圣邦股份</t>
  </si>
  <si>
    <t>青松股份</t>
  </si>
  <si>
    <t>慈文传媒</t>
  </si>
  <si>
    <t>再升科技</t>
  </si>
  <si>
    <t>用友网络</t>
  </si>
  <si>
    <t>分众传媒</t>
  </si>
  <si>
    <t>华扬联众</t>
  </si>
  <si>
    <t>040046</t>
  </si>
  <si>
    <t>苹果公司</t>
  </si>
  <si>
    <t>002621</t>
  </si>
  <si>
    <t>口子窖</t>
  </si>
  <si>
    <t>微软</t>
  </si>
  <si>
    <r>
      <rPr>
        <sz val="10.5"/>
        <color rgb="FF4A4A4A"/>
        <rFont val="宋体"/>
        <charset val="134"/>
      </rPr>
      <t>万科</t>
    </r>
    <r>
      <rPr>
        <sz val="10.5"/>
        <color rgb="FF4A4A4A"/>
        <rFont val="Segoe UI"/>
        <charset val="134"/>
      </rPr>
      <t>A</t>
    </r>
  </si>
  <si>
    <t>亚马逊公司</t>
  </si>
  <si>
    <t>FACEBOOK公司</t>
  </si>
  <si>
    <t>新希望</t>
  </si>
  <si>
    <t>ALPHABET公司</t>
  </si>
  <si>
    <t>太阳纸业</t>
  </si>
  <si>
    <t>ALPHABET INC</t>
  </si>
  <si>
    <t>诺邦股份</t>
  </si>
  <si>
    <t>英特尔公司</t>
  </si>
  <si>
    <t>完美世界</t>
  </si>
  <si>
    <t>英伟达</t>
  </si>
  <si>
    <t>新宝股份</t>
  </si>
  <si>
    <t>奥多比</t>
  </si>
  <si>
    <t>PAYPAL控股股份有限公司</t>
  </si>
  <si>
    <t>海信视像</t>
  </si>
  <si>
    <t>山东药玻</t>
  </si>
  <si>
    <t>003095</t>
  </si>
  <si>
    <t>壹网壹创</t>
  </si>
  <si>
    <t>紫光国微</t>
  </si>
  <si>
    <t>博思软件</t>
  </si>
  <si>
    <t>迈克生物</t>
  </si>
  <si>
    <t>英维克</t>
  </si>
  <si>
    <t>麦格米特</t>
  </si>
  <si>
    <t>长亮科技</t>
  </si>
  <si>
    <t>一拖股份</t>
  </si>
  <si>
    <t>思创医惠</t>
  </si>
  <si>
    <t>司太立</t>
  </si>
  <si>
    <r>
      <rPr>
        <b/>
        <sz val="10.5"/>
        <color rgb="FF4A4A4A"/>
        <rFont val="宋体"/>
        <charset val="134"/>
      </rPr>
      <t>万科</t>
    </r>
    <r>
      <rPr>
        <b/>
        <sz val="10.5"/>
        <color rgb="FF4A4A4A"/>
        <rFont val="Segoe UI"/>
        <charset val="134"/>
      </rPr>
      <t>A</t>
    </r>
  </si>
  <si>
    <t>七一二</t>
  </si>
  <si>
    <t>华海药业</t>
  </si>
  <si>
    <t>001714</t>
  </si>
  <si>
    <t>007119</t>
  </si>
  <si>
    <t>信维通信</t>
  </si>
  <si>
    <t>凯利泰</t>
  </si>
  <si>
    <t>古井贡酒</t>
  </si>
  <si>
    <t>生益科技</t>
  </si>
  <si>
    <t>人福医药</t>
  </si>
  <si>
    <t>三诺生物</t>
  </si>
  <si>
    <t>春风动力</t>
  </si>
  <si>
    <t>梦网集团</t>
  </si>
  <si>
    <t>海康威视</t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</si>
  <si>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周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</si>
  <si>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</si>
  <si>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</si>
  <si>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6</t>
    </r>
    <r>
      <rPr>
        <sz val="9.75"/>
        <rFont val="宋体"/>
        <charset val="134"/>
      </rPr>
      <t>月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</si>
  <si>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年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</si>
  <si>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2</t>
    </r>
    <r>
      <rPr>
        <sz val="9.75"/>
        <rFont val="宋体"/>
        <charset val="134"/>
      </rPr>
      <t>年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</si>
  <si>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年</t>
    </r>
  </si>
  <si>
    <r>
      <rPr>
        <sz val="9.75"/>
        <rFont val="宋体"/>
        <charset val="134"/>
      </rPr>
      <t>近</t>
    </r>
    <r>
      <rPr>
        <sz val="9.75"/>
        <rFont val="Segoe UI"/>
        <charset val="134"/>
      </rPr>
      <t>5</t>
    </r>
    <r>
      <rPr>
        <sz val="9.75"/>
        <rFont val="宋体"/>
        <charset val="134"/>
      </rPr>
      <t>年</t>
    </r>
  </si>
  <si>
    <t>今年以来</t>
  </si>
  <si>
    <t>激进二级债券</t>
  </si>
  <si>
    <t>行业主题</t>
  </si>
  <si>
    <t>006113</t>
  </si>
  <si>
    <t>--</t>
  </si>
  <si>
    <t>006228</t>
  </si>
  <si>
    <t>港股及海外</t>
  </si>
  <si>
    <t>001605</t>
  </si>
  <si>
    <t>股债平衡</t>
  </si>
  <si>
    <t>001500</t>
  </si>
  <si>
    <t>宏观策略</t>
  </si>
  <si>
    <t>001679</t>
  </si>
  <si>
    <t>积极成长</t>
  </si>
  <si>
    <t>007341</t>
  </si>
  <si>
    <t>稳健成长</t>
  </si>
  <si>
    <t>000362</t>
  </si>
  <si>
    <t>001694</t>
  </si>
  <si>
    <t>均衡</t>
  </si>
  <si>
    <t>204.27</t>
  </si>
  <si>
    <t>004424</t>
  </si>
  <si>
    <t>007082</t>
  </si>
  <si>
    <t>成长价值</t>
  </si>
  <si>
    <t>5</t>
  </si>
  <si>
    <t>8</t>
  </si>
  <si>
    <t>000854</t>
  </si>
  <si>
    <t>7</t>
  </si>
  <si>
    <t>0</t>
  </si>
  <si>
    <t>北方华创</t>
  </si>
  <si>
    <t>金山软件</t>
  </si>
  <si>
    <t>卓胜微</t>
  </si>
  <si>
    <t>普洛药业</t>
  </si>
  <si>
    <t>兆易创新</t>
  </si>
  <si>
    <t>蓝思科技</t>
  </si>
  <si>
    <t>韦尔股份</t>
  </si>
  <si>
    <t>豪迈科技</t>
  </si>
  <si>
    <t>沪硅产业-U</t>
  </si>
  <si>
    <t>长电科技</t>
  </si>
  <si>
    <t>中微公司</t>
  </si>
  <si>
    <t>思源电气</t>
  </si>
  <si>
    <t>法拉电子</t>
  </si>
  <si>
    <t>闻泰科技</t>
  </si>
  <si>
    <t>莱宝高科</t>
  </si>
  <si>
    <t>光线传媒</t>
  </si>
  <si>
    <t>颐海国际</t>
  </si>
  <si>
    <t>恒立液压</t>
  </si>
  <si>
    <t>潍柴动力</t>
  </si>
  <si>
    <t>中国重汽</t>
  </si>
  <si>
    <t>海螺水泥</t>
  </si>
  <si>
    <t>华新水泥</t>
  </si>
  <si>
    <t>三棵树</t>
  </si>
  <si>
    <t>万达信息</t>
  </si>
  <si>
    <t>000336</t>
  </si>
  <si>
    <t>龙蟒佰利</t>
  </si>
  <si>
    <t>卫星石化</t>
  </si>
  <si>
    <t>旭辉控股集团</t>
  </si>
  <si>
    <t>002542</t>
  </si>
  <si>
    <t>005968</t>
  </si>
  <si>
    <t>中证银行</t>
  </si>
  <si>
    <t>中证500</t>
  </si>
  <si>
    <t>万科A</t>
  </si>
  <si>
    <t>中证军工</t>
  </si>
  <si>
    <t>中证环保</t>
  </si>
  <si>
    <t>上证50</t>
  </si>
  <si>
    <t>恩捷股份</t>
  </si>
  <si>
    <t>沪深300</t>
  </si>
  <si>
    <t>001071</t>
  </si>
  <si>
    <t>040035</t>
  </si>
  <si>
    <t>001302</t>
  </si>
  <si>
    <t>008227</t>
  </si>
  <si>
    <t>000835</t>
  </si>
  <si>
    <t>平安银行</t>
  </si>
  <si>
    <t>兴业银行</t>
  </si>
  <si>
    <t>中信证券</t>
  </si>
  <si>
    <t>民生银行</t>
  </si>
  <si>
    <t>000251</t>
  </si>
  <si>
    <t>招商银行</t>
  </si>
  <si>
    <t>金地集团</t>
  </si>
  <si>
    <t>华泰证券</t>
  </si>
  <si>
    <t>裕同科技</t>
  </si>
  <si>
    <t>光大银行</t>
  </si>
  <si>
    <t>华宇软件</t>
  </si>
  <si>
    <t>美亚柏科</t>
  </si>
  <si>
    <t>山东赫达</t>
  </si>
  <si>
    <t>638/3193</t>
  </si>
  <si>
    <t>743/3715</t>
  </si>
  <si>
    <t>739/3696</t>
  </si>
  <si>
    <t>716/3581</t>
  </si>
  <si>
    <t>672/3364</t>
  </si>
  <si>
    <t>617/3087</t>
  </si>
  <si>
    <t>540/2703</t>
  </si>
  <si>
    <t>445/2227</t>
  </si>
  <si>
    <t>226/1132</t>
  </si>
  <si>
    <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周</t>
    </r>
  </si>
  <si>
    <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月</t>
    </r>
  </si>
  <si>
    <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月</t>
    </r>
  </si>
  <si>
    <r>
      <t>近</t>
    </r>
    <r>
      <rPr>
        <sz val="9.75"/>
        <rFont val="Segoe UI"/>
        <charset val="134"/>
      </rPr>
      <t>6</t>
    </r>
    <r>
      <rPr>
        <sz val="9.75"/>
        <rFont val="宋体"/>
        <charset val="134"/>
      </rPr>
      <t>月</t>
    </r>
  </si>
  <si>
    <r>
      <t>近</t>
    </r>
    <r>
      <rPr>
        <sz val="9.75"/>
        <rFont val="Segoe UI"/>
        <charset val="134"/>
      </rPr>
      <t>1</t>
    </r>
    <r>
      <rPr>
        <sz val="9.75"/>
        <rFont val="宋体"/>
        <charset val="134"/>
      </rPr>
      <t>年</t>
    </r>
  </si>
  <si>
    <r>
      <t>近</t>
    </r>
    <r>
      <rPr>
        <sz val="9.75"/>
        <rFont val="Segoe UI"/>
        <charset val="134"/>
      </rPr>
      <t>2</t>
    </r>
    <r>
      <rPr>
        <sz val="9.75"/>
        <rFont val="宋体"/>
        <charset val="134"/>
      </rPr>
      <t>年</t>
    </r>
  </si>
  <si>
    <r>
      <t>近</t>
    </r>
    <r>
      <rPr>
        <sz val="9.75"/>
        <rFont val="Segoe UI"/>
        <charset val="134"/>
      </rPr>
      <t>3</t>
    </r>
    <r>
      <rPr>
        <sz val="9.75"/>
        <rFont val="宋体"/>
        <charset val="134"/>
      </rPr>
      <t>年</t>
    </r>
  </si>
  <si>
    <r>
      <t>近</t>
    </r>
    <r>
      <rPr>
        <sz val="9.75"/>
        <rFont val="Segoe UI"/>
        <charset val="134"/>
      </rPr>
      <t>5</t>
    </r>
    <r>
      <rPr>
        <sz val="9.75"/>
        <rFont val="宋体"/>
        <charset val="134"/>
      </rPr>
      <t>年</t>
    </r>
  </si>
  <si>
    <t>统计</t>
  </si>
  <si>
    <t>3/3185</t>
  </si>
  <si>
    <t>2951/3659</t>
  </si>
  <si>
    <t>8/3637</t>
  </si>
  <si>
    <t>17/3543</t>
  </si>
  <si>
    <t>3/3347</t>
  </si>
  <si>
    <t>2/3083</t>
  </si>
  <si>
    <t>51/2701</t>
  </si>
  <si>
    <t>276/2226</t>
  </si>
  <si>
    <t>323/1111</t>
  </si>
  <si>
    <t>4/3185</t>
  </si>
  <si>
    <t>3029/3659</t>
  </si>
  <si>
    <t>5/3637</t>
  </si>
  <si>
    <t>15/3543</t>
  </si>
  <si>
    <t>2/3347</t>
  </si>
  <si>
    <t>6/3083</t>
  </si>
  <si>
    <t>68/2701</t>
  </si>
  <si>
    <t>241/2226</t>
  </si>
  <si>
    <t>95/1111</t>
  </si>
  <si>
    <t>002190</t>
  </si>
  <si>
    <t>5/3185</t>
  </si>
  <si>
    <t>3064/3659</t>
  </si>
  <si>
    <t>4/3637</t>
  </si>
  <si>
    <t>5/3543</t>
  </si>
  <si>
    <t>1/3347</t>
  </si>
  <si>
    <t>3/3083</t>
  </si>
  <si>
    <t>120/2701</t>
  </si>
  <si>
    <t>423/2226</t>
  </si>
  <si>
    <t>6/3185</t>
  </si>
  <si>
    <t>31/3659</t>
  </si>
  <si>
    <t>1650/3637</t>
  </si>
  <si>
    <t>28/3543</t>
  </si>
  <si>
    <t>4/3347</t>
  </si>
  <si>
    <t>27/3083</t>
  </si>
  <si>
    <t>296/2701</t>
  </si>
  <si>
    <t>164/2226</t>
  </si>
  <si>
    <t>44/1111</t>
  </si>
  <si>
    <t>16/3185</t>
  </si>
  <si>
    <t>2764/3659</t>
  </si>
  <si>
    <t>1192/3637</t>
  </si>
  <si>
    <t>109/3543</t>
  </si>
  <si>
    <t>19/3347</t>
  </si>
  <si>
    <t>11/3083</t>
  </si>
  <si>
    <t>41/2701</t>
  </si>
  <si>
    <t>195/2226</t>
  </si>
  <si>
    <t>303/1111</t>
  </si>
  <si>
    <t>158/3185</t>
  </si>
  <si>
    <t>3215/3659</t>
  </si>
  <si>
    <t>1467/3637</t>
  </si>
  <si>
    <t>269/3543</t>
  </si>
  <si>
    <t>53/3347</t>
  </si>
  <si>
    <t>51/3083</t>
  </si>
  <si>
    <t>13/2701</t>
  </si>
  <si>
    <t>101/2226</t>
  </si>
  <si>
    <t>61/1111</t>
  </si>
  <si>
    <t>004895</t>
  </si>
  <si>
    <t>11/3185</t>
  </si>
  <si>
    <t>1821/3659</t>
  </si>
  <si>
    <t>1733/3637</t>
  </si>
  <si>
    <t>394/3543</t>
  </si>
  <si>
    <t>168/3347</t>
  </si>
  <si>
    <t>7/3083</t>
  </si>
  <si>
    <t>262/2701</t>
  </si>
  <si>
    <t>349/2226</t>
  </si>
  <si>
    <t>1/3185</t>
  </si>
  <si>
    <t>2693/3659</t>
  </si>
  <si>
    <t>2669/3637</t>
  </si>
  <si>
    <t>77/3543</t>
  </si>
  <si>
    <t>7/3347</t>
  </si>
  <si>
    <t>1/3083</t>
  </si>
  <si>
    <t>4/2701</t>
  </si>
  <si>
    <t>52/2226</t>
  </si>
  <si>
    <t>108/1111</t>
  </si>
  <si>
    <t>7/3185</t>
  </si>
  <si>
    <t>4/3659</t>
  </si>
  <si>
    <t>3387/3637</t>
  </si>
  <si>
    <t>1884/3543</t>
  </si>
  <si>
    <t>171/3347</t>
  </si>
  <si>
    <t>55/3083</t>
  </si>
  <si>
    <t>90/2701</t>
  </si>
  <si>
    <t>38/2226</t>
  </si>
  <si>
    <t>314/1111</t>
  </si>
  <si>
    <t>000684</t>
  </si>
  <si>
    <t>95/3185</t>
  </si>
  <si>
    <t>8/3659</t>
  </si>
  <si>
    <t>3354/3637</t>
  </si>
  <si>
    <t>856/3543</t>
  </si>
  <si>
    <t>130/3347</t>
  </si>
  <si>
    <t>245/3083</t>
  </si>
  <si>
    <t>1024/2701</t>
  </si>
  <si>
    <t>641/2226</t>
  </si>
  <si>
    <t>530/1111</t>
  </si>
  <si>
    <t>511/3185</t>
  </si>
  <si>
    <t>1627/3659</t>
  </si>
  <si>
    <t>7/3637</t>
  </si>
  <si>
    <t>706/3543</t>
  </si>
  <si>
    <t>195/3347</t>
  </si>
  <si>
    <t>294/3083</t>
  </si>
  <si>
    <t>763/2701</t>
  </si>
  <si>
    <t>707/2226</t>
  </si>
  <si>
    <t>729/1111</t>
  </si>
  <si>
    <t>000690</t>
  </si>
  <si>
    <t>1105/3185</t>
  </si>
  <si>
    <t>3536/3659</t>
  </si>
  <si>
    <t>1350/3637</t>
  </si>
  <si>
    <t>1/3543</t>
  </si>
  <si>
    <t>145/3347</t>
  </si>
  <si>
    <t>791/3083</t>
  </si>
  <si>
    <t>569/2701</t>
  </si>
  <si>
    <t>644/2226</t>
  </si>
  <si>
    <t>944/1111</t>
  </si>
  <si>
    <t>001475</t>
  </si>
  <si>
    <t>133/3185</t>
  </si>
  <si>
    <t>3586/3659</t>
  </si>
  <si>
    <t>1972/3637</t>
  </si>
  <si>
    <t>2/3543</t>
  </si>
  <si>
    <t>39/3347</t>
  </si>
  <si>
    <t>381/3083</t>
  </si>
  <si>
    <t>901/2701</t>
  </si>
  <si>
    <t>1031/2226</t>
  </si>
  <si>
    <t>691/1111</t>
  </si>
  <si>
    <t>323/3185</t>
  </si>
  <si>
    <t>43/3659</t>
  </si>
  <si>
    <t>3008/3637</t>
  </si>
  <si>
    <t>1165/3543</t>
  </si>
  <si>
    <t>229/3347</t>
  </si>
  <si>
    <t>622/3083</t>
  </si>
  <si>
    <t>339/2701</t>
  </si>
  <si>
    <t>111/2226</t>
  </si>
  <si>
    <t>1/1111</t>
  </si>
  <si>
    <t>352/3185</t>
  </si>
  <si>
    <t>119/3659</t>
  </si>
  <si>
    <t>2667/3637</t>
  </si>
  <si>
    <t>35/3543</t>
  </si>
  <si>
    <t>41/3347</t>
  </si>
  <si>
    <t>510/3083</t>
  </si>
  <si>
    <t>121/2701</t>
  </si>
  <si>
    <t>17/2226</t>
  </si>
  <si>
    <t>2/1111</t>
  </si>
  <si>
    <t>000294</t>
  </si>
  <si>
    <t>109/3185</t>
  </si>
  <si>
    <t>575/3659</t>
  </si>
  <si>
    <t>3405/3637</t>
  </si>
  <si>
    <t>1111/3543</t>
  </si>
  <si>
    <t>179/3347</t>
  </si>
  <si>
    <t>95/3083</t>
  </si>
  <si>
    <t>40/2701</t>
  </si>
  <si>
    <t>30/2226</t>
  </si>
  <si>
    <t>3/1111</t>
  </si>
  <si>
    <t>672/3185</t>
  </si>
  <si>
    <t>1392/3659</t>
  </si>
  <si>
    <t>2992/3637</t>
  </si>
  <si>
    <t>440/3543</t>
  </si>
  <si>
    <t>207/3347</t>
  </si>
  <si>
    <t>977/3083</t>
  </si>
  <si>
    <t>396/2701</t>
  </si>
  <si>
    <t>48/2226</t>
  </si>
  <si>
    <t>4/1111</t>
  </si>
  <si>
    <t>000083</t>
  </si>
  <si>
    <t>358/3185</t>
  </si>
  <si>
    <t>148/3659</t>
  </si>
  <si>
    <t>2854/3637</t>
  </si>
  <si>
    <t>543/3543</t>
  </si>
  <si>
    <t>119/3347</t>
  </si>
  <si>
    <t>558/3083</t>
  </si>
  <si>
    <t>143/2701</t>
  </si>
  <si>
    <t>28/2226</t>
  </si>
  <si>
    <t>10/1111</t>
  </si>
  <si>
    <t>980/3185</t>
  </si>
  <si>
    <t>805/3659</t>
  </si>
  <si>
    <t>2106/3637</t>
  </si>
  <si>
    <t>1387/3543</t>
  </si>
  <si>
    <t>1670/3347</t>
  </si>
  <si>
    <t>847/3083</t>
  </si>
  <si>
    <t>646/2701</t>
  </si>
  <si>
    <t>139/2226</t>
  </si>
  <si>
    <t>13/1111</t>
  </si>
  <si>
    <t>47/3185</t>
  </si>
  <si>
    <t>2758/3659</t>
  </si>
  <si>
    <t>3035/3637</t>
  </si>
  <si>
    <t>1219/3543</t>
  </si>
  <si>
    <t>416/3347</t>
  </si>
  <si>
    <t>69/3083</t>
  </si>
  <si>
    <t>178/2701</t>
  </si>
  <si>
    <t>92/2226</t>
  </si>
  <si>
    <t>12/1111</t>
  </si>
  <si>
    <t>001508/10</t>
  </si>
  <si>
    <t>117/3185</t>
  </si>
  <si>
    <t>423/3659</t>
  </si>
  <si>
    <t>2239/3637</t>
  </si>
  <si>
    <t>1064/3543</t>
  </si>
  <si>
    <t>559/3347</t>
  </si>
  <si>
    <t>124/3083</t>
  </si>
  <si>
    <t>32/2701</t>
  </si>
  <si>
    <t>1/2226</t>
  </si>
  <si>
    <t>5/1111</t>
  </si>
  <si>
    <t>508/3185</t>
  </si>
  <si>
    <t>3400/3659</t>
  </si>
  <si>
    <t>3602/3637</t>
  </si>
  <si>
    <t>829/3543</t>
  </si>
  <si>
    <t>282/3347</t>
  </si>
  <si>
    <t>322/3083</t>
  </si>
  <si>
    <t>48/2701</t>
  </si>
  <si>
    <t>3/2226</t>
  </si>
  <si>
    <t>63/1111</t>
  </si>
  <si>
    <t>050026</t>
  </si>
  <si>
    <t>57/3185</t>
  </si>
  <si>
    <t>142/3659</t>
  </si>
  <si>
    <t>3573/3637</t>
  </si>
  <si>
    <t>2995/3543</t>
  </si>
  <si>
    <t>429/3347</t>
  </si>
  <si>
    <t>223/3083</t>
  </si>
  <si>
    <t>17/2701</t>
  </si>
  <si>
    <t>9/2226</t>
  </si>
  <si>
    <t>103/1111</t>
  </si>
  <si>
    <t>478/3185</t>
  </si>
  <si>
    <t>94/3659</t>
  </si>
  <si>
    <t>2747/3637</t>
  </si>
  <si>
    <t>74/3543</t>
  </si>
  <si>
    <t>113/3347</t>
  </si>
  <si>
    <t>619/3083</t>
  </si>
  <si>
    <t>127/2701</t>
  </si>
  <si>
    <t>14/2226</t>
  </si>
  <si>
    <t>6/1111</t>
  </si>
  <si>
    <t>000727</t>
  </si>
  <si>
    <t>13/3185</t>
  </si>
  <si>
    <t>717/3659</t>
  </si>
  <si>
    <t>3422/3637</t>
  </si>
  <si>
    <t>2039/3543</t>
  </si>
  <si>
    <t>330/3347</t>
  </si>
  <si>
    <t>5/3083</t>
  </si>
  <si>
    <t>3/2701</t>
  </si>
  <si>
    <t>6/2226</t>
  </si>
  <si>
    <t>36/1111</t>
  </si>
  <si>
    <t>001679/002079</t>
  </si>
  <si>
    <t>50/3185</t>
  </si>
  <si>
    <t>218/3659</t>
  </si>
  <si>
    <t>3118/3637</t>
  </si>
  <si>
    <t>1030/3543</t>
  </si>
  <si>
    <t>152/3347</t>
  </si>
  <si>
    <t>97/3083</t>
  </si>
  <si>
    <t>1/2701</t>
  </si>
  <si>
    <t>8/2226</t>
  </si>
  <si>
    <t>151/1111</t>
  </si>
  <si>
    <t>91/3185</t>
  </si>
  <si>
    <t>1966/3659</t>
  </si>
  <si>
    <t>2400/3637</t>
  </si>
  <si>
    <t>3260/3543</t>
  </si>
  <si>
    <t>1313/3347</t>
  </si>
  <si>
    <t>82/3083</t>
  </si>
  <si>
    <t>7/2701</t>
  </si>
  <si>
    <t>16/2226</t>
  </si>
  <si>
    <t>9/1111</t>
  </si>
  <si>
    <t>54/3185</t>
  </si>
  <si>
    <t>2756/3659</t>
  </si>
  <si>
    <t>3135/3637</t>
  </si>
  <si>
    <t>504/3543</t>
  </si>
  <si>
    <t>246/3347</t>
  </si>
  <si>
    <t>40/3083</t>
  </si>
  <si>
    <t>11/2701</t>
  </si>
  <si>
    <t>59/2226</t>
  </si>
  <si>
    <t>11/1111</t>
  </si>
  <si>
    <t>2/3185</t>
  </si>
  <si>
    <t>2771/3659</t>
  </si>
  <si>
    <t>2728/3637</t>
  </si>
  <si>
    <t>81/3543</t>
  </si>
  <si>
    <t>6/3347</t>
  </si>
  <si>
    <t>4/3083</t>
  </si>
  <si>
    <t>220/2701</t>
  </si>
  <si>
    <t>73/2226</t>
  </si>
  <si>
    <t>003095/6</t>
  </si>
  <si>
    <t>78/3185</t>
  </si>
  <si>
    <t>9/3659</t>
  </si>
  <si>
    <t>3571/3637</t>
  </si>
  <si>
    <t>3316/3543</t>
  </si>
  <si>
    <t>571/3347</t>
  </si>
  <si>
    <t>134/3083</t>
  </si>
  <si>
    <t>117/2701</t>
  </si>
  <si>
    <t>5/2226</t>
  </si>
  <si>
    <t>003516</t>
  </si>
  <si>
    <t>286/3185</t>
  </si>
  <si>
    <t>2561/3659</t>
  </si>
  <si>
    <t>2927/3637</t>
  </si>
  <si>
    <t>1420/3543</t>
  </si>
  <si>
    <t>620/3347</t>
  </si>
  <si>
    <t>388/3083</t>
  </si>
  <si>
    <t>20/2701</t>
  </si>
  <si>
    <t>10/2226</t>
  </si>
  <si>
    <t>002669</t>
  </si>
  <si>
    <t>15/3185</t>
  </si>
  <si>
    <t>1941/3659</t>
  </si>
  <si>
    <t>1861/3637</t>
  </si>
  <si>
    <t>377/3543</t>
  </si>
  <si>
    <t>212/3347</t>
  </si>
  <si>
    <t>9/3083</t>
  </si>
  <si>
    <t>12/2701</t>
  </si>
  <si>
    <t>85/2226</t>
  </si>
  <si>
    <t>002939</t>
  </si>
  <si>
    <t>260/3185</t>
  </si>
  <si>
    <t>1999/3659</t>
  </si>
  <si>
    <t>2922/3637</t>
  </si>
  <si>
    <t>2318/3543</t>
  </si>
  <si>
    <t>1228/3347</t>
  </si>
  <si>
    <t>34/3083</t>
  </si>
  <si>
    <t>6/2701</t>
  </si>
  <si>
    <t>56/2226</t>
  </si>
  <si>
    <t>927/3185</t>
  </si>
  <si>
    <t>3164/3659</t>
  </si>
  <si>
    <t>2953/3637</t>
  </si>
  <si>
    <t>1002/3543</t>
  </si>
  <si>
    <t>801/3347</t>
  </si>
  <si>
    <t>653/3083</t>
  </si>
  <si>
    <t>14/2701</t>
  </si>
  <si>
    <t>33/2226</t>
  </si>
  <si>
    <t>004745</t>
  </si>
  <si>
    <t>782/3185</t>
  </si>
  <si>
    <t>20/3659</t>
  </si>
  <si>
    <t>6/3637</t>
  </si>
  <si>
    <t>1294/3543</t>
  </si>
  <si>
    <t>391/3347</t>
  </si>
  <si>
    <t>678/3083</t>
  </si>
  <si>
    <t>956/2701</t>
  </si>
  <si>
    <t>1099/2226</t>
  </si>
  <si>
    <t>001838</t>
  </si>
  <si>
    <t>429/3185</t>
  </si>
  <si>
    <t>3647/3659</t>
  </si>
  <si>
    <t>2360/3637</t>
  </si>
  <si>
    <t>3/3543</t>
  </si>
  <si>
    <t>117/3347</t>
  </si>
  <si>
    <t>963/3083</t>
  </si>
  <si>
    <t>1508/2701</t>
  </si>
  <si>
    <t>1799/2226</t>
  </si>
  <si>
    <t>004139</t>
  </si>
  <si>
    <t>328/3185</t>
  </si>
  <si>
    <t>3561/3659</t>
  </si>
  <si>
    <t>12/3637</t>
  </si>
  <si>
    <t>4/3543</t>
  </si>
  <si>
    <t>80/3347</t>
  </si>
  <si>
    <t>625/3083</t>
  </si>
  <si>
    <t>1027/2701</t>
  </si>
  <si>
    <t>1150/2226</t>
  </si>
  <si>
    <t>005453/4</t>
  </si>
  <si>
    <t>18/3185</t>
  </si>
  <si>
    <t>6/3659</t>
  </si>
  <si>
    <t>2998/3637</t>
  </si>
  <si>
    <t>1500/3543</t>
  </si>
  <si>
    <t>99/3347</t>
  </si>
  <si>
    <t>75/3083</t>
  </si>
  <si>
    <t>71/2701</t>
  </si>
  <si>
    <t>005176</t>
  </si>
  <si>
    <t>68/3185</t>
  </si>
  <si>
    <t>10/3659</t>
  </si>
  <si>
    <t>3548/3637</t>
  </si>
  <si>
    <t>3116/3543</t>
  </si>
  <si>
    <t>1020/3347</t>
  </si>
  <si>
    <t>105/3083</t>
  </si>
  <si>
    <t>63/2701</t>
  </si>
  <si>
    <t>005689</t>
  </si>
  <si>
    <t>20/3185</t>
  </si>
  <si>
    <t>336/3659</t>
  </si>
  <si>
    <t>3272/3637</t>
  </si>
  <si>
    <t>1397/3543</t>
  </si>
  <si>
    <t>306/3347</t>
  </si>
  <si>
    <t>42/3083</t>
  </si>
  <si>
    <t>10/2701</t>
  </si>
  <si>
    <t>006110/9</t>
  </si>
  <si>
    <t>2010/3185</t>
  </si>
  <si>
    <t>303/3659</t>
  </si>
  <si>
    <t>1/3637</t>
  </si>
  <si>
    <t>2451/3543</t>
  </si>
  <si>
    <t>3027/3347</t>
  </si>
  <si>
    <t>2184/3083</t>
  </si>
  <si>
    <t>2587/2701</t>
  </si>
  <si>
    <t>004836</t>
  </si>
  <si>
    <t>3002/3185</t>
  </si>
  <si>
    <t>882/3659</t>
  </si>
  <si>
    <t>9/3637</t>
  </si>
  <si>
    <t>2665/3543</t>
  </si>
  <si>
    <t>2704/3347</t>
  </si>
  <si>
    <t>2735/3083</t>
  </si>
  <si>
    <t>2407/2701</t>
  </si>
  <si>
    <t>004837</t>
  </si>
  <si>
    <t>3150/3185</t>
  </si>
  <si>
    <t>917/3659</t>
  </si>
  <si>
    <t>11/3637</t>
  </si>
  <si>
    <t>2780/3543</t>
  </si>
  <si>
    <t>3144/3347</t>
  </si>
  <si>
    <t>2966/3083</t>
  </si>
  <si>
    <t>2579/2701</t>
  </si>
  <si>
    <t>006281</t>
  </si>
  <si>
    <t>587/3185</t>
  </si>
  <si>
    <t>3220/3659</t>
  </si>
  <si>
    <t>10/3637</t>
  </si>
  <si>
    <t>1279/3543</t>
  </si>
  <si>
    <t>642/3347</t>
  </si>
  <si>
    <t>427/3083</t>
  </si>
  <si>
    <t>006820/1</t>
  </si>
  <si>
    <t>3073/3185</t>
  </si>
  <si>
    <t>1/3659</t>
  </si>
  <si>
    <t>31/3637</t>
  </si>
  <si>
    <t>1406/3543</t>
  </si>
  <si>
    <t>2842/3347</t>
  </si>
  <si>
    <t>2898/3083</t>
  </si>
  <si>
    <t>008061</t>
  </si>
  <si>
    <t>2715/3659</t>
  </si>
  <si>
    <t>1421/3637</t>
  </si>
  <si>
    <t>6/3543</t>
  </si>
  <si>
    <t>834/3347</t>
  </si>
  <si>
    <t>009275</t>
  </si>
  <si>
    <t>3/3659</t>
  </si>
  <si>
    <t>3394/3637</t>
  </si>
  <si>
    <t>1914/3543</t>
  </si>
  <si>
    <t>009147</t>
  </si>
  <si>
    <t>4/480</t>
  </si>
  <si>
    <t>1/478</t>
  </si>
  <si>
    <t>73/462</t>
  </si>
  <si>
    <t>004812/3</t>
  </si>
  <si>
    <t>51/411</t>
  </si>
  <si>
    <t>46/480</t>
  </si>
  <si>
    <t>3/478</t>
  </si>
  <si>
    <t>26/462</t>
  </si>
  <si>
    <t>11/429</t>
  </si>
  <si>
    <t>18/394</t>
  </si>
  <si>
    <t>58/331</t>
  </si>
  <si>
    <t>004854/5</t>
  </si>
  <si>
    <t>282/1170</t>
  </si>
  <si>
    <t>1226/1344</t>
  </si>
  <si>
    <t>1/1343</t>
  </si>
  <si>
    <t>71/1315</t>
  </si>
  <si>
    <t>338/1239</t>
  </si>
  <si>
    <t>403/1073</t>
  </si>
  <si>
    <t>577/839</t>
  </si>
  <si>
    <t>620/713</t>
  </si>
  <si>
    <t>001476</t>
  </si>
  <si>
    <t>29/411</t>
  </si>
  <si>
    <t>8/480</t>
  </si>
  <si>
    <t>7/478</t>
  </si>
  <si>
    <t>12/462</t>
  </si>
  <si>
    <t>7/429</t>
  </si>
  <si>
    <t>13/394</t>
  </si>
  <si>
    <t>69/331</t>
  </si>
  <si>
    <t>151/256</t>
  </si>
  <si>
    <t>117/134</t>
  </si>
  <si>
    <t>003834</t>
  </si>
  <si>
    <t>236/411</t>
  </si>
  <si>
    <t>74/480</t>
  </si>
  <si>
    <t>6/478</t>
  </si>
  <si>
    <t>181/462</t>
  </si>
  <si>
    <t>48/429</t>
  </si>
  <si>
    <t>87/394</t>
  </si>
  <si>
    <t>132/331</t>
  </si>
  <si>
    <t>188/256</t>
  </si>
  <si>
    <t>005968/9</t>
  </si>
  <si>
    <t>18/411</t>
  </si>
  <si>
    <t>62/480</t>
  </si>
  <si>
    <t>8/478</t>
  </si>
  <si>
    <t>2/462</t>
  </si>
  <si>
    <t>3/429</t>
  </si>
  <si>
    <t>3/394</t>
  </si>
  <si>
    <t>36/331</t>
  </si>
  <si>
    <t>3/411</t>
  </si>
  <si>
    <t>260/480</t>
  </si>
  <si>
    <t>10/478</t>
  </si>
  <si>
    <t>5/462</t>
  </si>
  <si>
    <t>9/429</t>
  </si>
  <si>
    <t>6/394</t>
  </si>
  <si>
    <t>10/331</t>
  </si>
  <si>
    <t>13/256</t>
  </si>
  <si>
    <t>4/134</t>
  </si>
  <si>
    <t>2/411</t>
  </si>
  <si>
    <t>53/480</t>
  </si>
  <si>
    <t>13/478</t>
  </si>
  <si>
    <t>8/462</t>
  </si>
  <si>
    <t>2/429</t>
  </si>
  <si>
    <t>2/394</t>
  </si>
  <si>
    <t>2/331</t>
  </si>
  <si>
    <t>23/256</t>
  </si>
  <si>
    <t>004698</t>
  </si>
  <si>
    <t>27/411</t>
  </si>
  <si>
    <t>81/480</t>
  </si>
  <si>
    <t>32/478</t>
  </si>
  <si>
    <t>1/462</t>
  </si>
  <si>
    <t>14/429</t>
  </si>
  <si>
    <t>56/394</t>
  </si>
  <si>
    <t>142/331</t>
  </si>
  <si>
    <t>114/256</t>
  </si>
  <si>
    <t>004640</t>
  </si>
  <si>
    <t>31/411</t>
  </si>
  <si>
    <t>104/480</t>
  </si>
  <si>
    <t>29/478</t>
  </si>
  <si>
    <t>15/462</t>
  </si>
  <si>
    <t>6/429</t>
  </si>
  <si>
    <t>5/394</t>
  </si>
  <si>
    <t>60/331</t>
  </si>
  <si>
    <t>118/256</t>
  </si>
  <si>
    <t>000746</t>
  </si>
  <si>
    <t>5/411</t>
  </si>
  <si>
    <t>232/480</t>
  </si>
  <si>
    <t>247/478</t>
  </si>
  <si>
    <t>13/462</t>
  </si>
  <si>
    <t>5/429</t>
  </si>
  <si>
    <t>7/394</t>
  </si>
  <si>
    <t>6/331</t>
  </si>
  <si>
    <t>10/256</t>
  </si>
  <si>
    <t>8/134</t>
  </si>
  <si>
    <t>005620</t>
  </si>
  <si>
    <t>21/411</t>
  </si>
  <si>
    <t>182/480</t>
  </si>
  <si>
    <t>438/478</t>
  </si>
  <si>
    <t>255/462</t>
  </si>
  <si>
    <t>55/429</t>
  </si>
  <si>
    <t>8/394</t>
  </si>
  <si>
    <t>27/331</t>
  </si>
  <si>
    <t>37/411</t>
  </si>
  <si>
    <t>145/480</t>
  </si>
  <si>
    <t>455/478</t>
  </si>
  <si>
    <t>342/462</t>
  </si>
  <si>
    <t>115/429</t>
  </si>
  <si>
    <t>10/394</t>
  </si>
  <si>
    <t>26/331</t>
  </si>
  <si>
    <t>6/256</t>
  </si>
  <si>
    <t>004851</t>
  </si>
  <si>
    <t>9/411</t>
  </si>
  <si>
    <t>11/480</t>
  </si>
  <si>
    <t>435/478</t>
  </si>
  <si>
    <t>436/462</t>
  </si>
  <si>
    <t>76/429</t>
  </si>
  <si>
    <t>27/394</t>
  </si>
  <si>
    <t>5/331</t>
  </si>
  <si>
    <t>1/256</t>
  </si>
  <si>
    <t>127/411</t>
  </si>
  <si>
    <t>379/480</t>
  </si>
  <si>
    <t>201/478</t>
  </si>
  <si>
    <t>300/462</t>
  </si>
  <si>
    <t>326/429</t>
  </si>
  <si>
    <t>64/394</t>
  </si>
  <si>
    <t>7/331</t>
  </si>
  <si>
    <t>19/256</t>
  </si>
  <si>
    <t>3/134</t>
  </si>
  <si>
    <t>001126</t>
  </si>
  <si>
    <t>23/411</t>
  </si>
  <si>
    <t>10/480</t>
  </si>
  <si>
    <t>76/478</t>
  </si>
  <si>
    <t>105/462</t>
  </si>
  <si>
    <t>20/429</t>
  </si>
  <si>
    <t>29/394</t>
  </si>
  <si>
    <t>8/331</t>
  </si>
  <si>
    <t>41/256</t>
  </si>
  <si>
    <t>36/134</t>
  </si>
  <si>
    <t>66/411</t>
  </si>
  <si>
    <t>269/480</t>
  </si>
  <si>
    <t>476/478</t>
  </si>
  <si>
    <t>162/462</t>
  </si>
  <si>
    <t>196/429</t>
  </si>
  <si>
    <t>68/394</t>
  </si>
  <si>
    <t>11/331</t>
  </si>
  <si>
    <t>26/256</t>
  </si>
  <si>
    <t>77/411</t>
  </si>
  <si>
    <t>142/480</t>
  </si>
  <si>
    <t>432/478</t>
  </si>
  <si>
    <t>278/462</t>
  </si>
  <si>
    <t>142/429</t>
  </si>
  <si>
    <t>69/394</t>
  </si>
  <si>
    <t>42/331</t>
  </si>
  <si>
    <t>14/256</t>
  </si>
  <si>
    <t>5/134</t>
  </si>
  <si>
    <t>68/411</t>
  </si>
  <si>
    <t>339/480</t>
  </si>
  <si>
    <t>119/478</t>
  </si>
  <si>
    <t>106/462</t>
  </si>
  <si>
    <t>46/429</t>
  </si>
  <si>
    <t>75/394</t>
  </si>
  <si>
    <t>50/331</t>
  </si>
  <si>
    <t>15/256</t>
  </si>
  <si>
    <t>122/1170</t>
  </si>
  <si>
    <t>823/1344</t>
  </si>
  <si>
    <t>1220/1343</t>
  </si>
  <si>
    <t>102/1315</t>
  </si>
  <si>
    <t>38/1239</t>
  </si>
  <si>
    <t>214/1073</t>
  </si>
  <si>
    <t>46/839</t>
  </si>
  <si>
    <t>9/713</t>
  </si>
  <si>
    <t>4/552</t>
  </si>
  <si>
    <t>当升科技</t>
  </si>
  <si>
    <t>天赐材料</t>
  </si>
  <si>
    <t>康龙化成</t>
  </si>
  <si>
    <t>道通科技</t>
  </si>
  <si>
    <t>智飞生物</t>
  </si>
  <si>
    <t>九洲药业</t>
  </si>
  <si>
    <t>洁美科技</t>
  </si>
  <si>
    <t>普利制药</t>
  </si>
  <si>
    <t>百润股份</t>
  </si>
  <si>
    <t>安恒信息</t>
  </si>
  <si>
    <t>仙琚制药</t>
  </si>
  <si>
    <t>美诺华</t>
  </si>
  <si>
    <t>斯达半导</t>
  </si>
  <si>
    <t>雅克科技</t>
  </si>
  <si>
    <t>晨光文具</t>
  </si>
  <si>
    <t>隆基股份/宁德时代</t>
  </si>
  <si>
    <t>WL-0008</t>
  </si>
  <si>
    <t>孙明</t>
  </si>
  <si>
    <t>工作能力和工作态度绩效考评表（职员）模板</t>
  </si>
  <si>
    <t>INHE</t>
  </si>
  <si>
    <t>INHE-0238</t>
  </si>
  <si>
    <t>黄艳芬</t>
  </si>
  <si>
    <t>INHE-0159</t>
  </si>
  <si>
    <t>廖宇翔</t>
  </si>
  <si>
    <t>INHE-0680</t>
  </si>
  <si>
    <t>陈嘉豪</t>
  </si>
  <si>
    <t>INHE-0725</t>
  </si>
  <si>
    <t>赵政洁(Oscar)</t>
  </si>
  <si>
    <t>INHE-0744</t>
  </si>
  <si>
    <t>郑超波(Mike)</t>
  </si>
  <si>
    <t>IM-0042</t>
  </si>
  <si>
    <t>聂晓英(Nie Xiaoying)</t>
  </si>
  <si>
    <t>工作能力和工作态度绩效考评表（中层）模板-银河电网</t>
  </si>
  <si>
    <t>INHEGRID</t>
  </si>
  <si>
    <t>INHE-0825</t>
  </si>
  <si>
    <t>罗辉</t>
  </si>
  <si>
    <t>工作能力和工作态度绩效考评表（中层）模板</t>
  </si>
  <si>
    <t>INHENERGY</t>
  </si>
  <si>
    <t>INHE-0804</t>
  </si>
  <si>
    <t>袁静</t>
  </si>
  <si>
    <t>INHENERGY-0036</t>
  </si>
  <si>
    <t>王伟</t>
  </si>
  <si>
    <t>INHE-0933</t>
  </si>
  <si>
    <t>周湘育(Gloria)</t>
  </si>
  <si>
    <t>INHE-0935</t>
  </si>
  <si>
    <t>叶苗</t>
  </si>
  <si>
    <t>INHE-0955</t>
  </si>
  <si>
    <t>徐井敏</t>
  </si>
  <si>
    <t>INHE-0946</t>
  </si>
  <si>
    <t>陈旭鹏(Torres)</t>
  </si>
  <si>
    <t>INHENERGY-0058</t>
  </si>
  <si>
    <t>赵芳娟</t>
  </si>
  <si>
    <t>INHENERGY-0062</t>
  </si>
  <si>
    <t>席凤姣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</si>
</sst>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_ "/>
  </numFmts>
  <fonts count="39">
    <font>
      <sz val="11"/>
      <color theme="1"/>
      <name val="宋体"/>
      <charset val="134"/>
      <scheme val="minor"/>
    </font>
    <font>
      <sz val="10.5"/>
      <color rgb="FF4A4A4A"/>
      <name val="Segoe UI"/>
      <charset val="134"/>
    </font>
    <font>
      <b/>
      <sz val="10.5"/>
      <color rgb="FF4A4A4A"/>
      <name val="宋体"/>
      <charset val="134"/>
    </font>
    <font>
      <sz val="10.5"/>
      <color rgb="FF4A4A4A"/>
      <name val="宋体"/>
      <charset val="134"/>
    </font>
    <font>
      <sz val="11"/>
      <name val="宋体"/>
      <charset val="134"/>
      <scheme val="minor"/>
    </font>
    <font>
      <sz val="9.75"/>
      <name val="宋体"/>
      <charset val="134"/>
    </font>
    <font>
      <b/>
      <sz val="9.6"/>
      <name val="Segoe UI"/>
      <charset val="134"/>
    </font>
    <font>
      <sz val="9.6"/>
      <name val="Segoe UI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.75"/>
      <name val="Segoe UI"/>
      <charset val="134"/>
    </font>
    <font>
      <sz val="9.75"/>
      <name val="Segoe UI"/>
      <charset val="134"/>
    </font>
    <font>
      <b/>
      <sz val="10.5"/>
      <color rgb="FFFF0000"/>
      <name val="宋体"/>
      <charset val="134"/>
    </font>
    <font>
      <b/>
      <sz val="10.5"/>
      <color rgb="FF4A4A4A"/>
      <name val="Segoe UI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name val="宋体"/>
      <charset val="134"/>
    </font>
    <font>
      <b/>
      <sz val="10.5"/>
      <color rgb="FFFF0000"/>
      <name val="Segoe UI"/>
      <charset val="134"/>
    </font>
    <font>
      <sz val="10.5"/>
      <name val="Segoe UI"/>
      <charset val="134"/>
    </font>
    <font>
      <b/>
      <sz val="10.5"/>
      <name val="Segoe UI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4F7F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2" borderId="2" applyNumberFormat="0" applyAlignment="0" applyProtection="0">
      <alignment vertical="center"/>
    </xf>
    <xf numFmtId="0" fontId="27" fillId="12" borderId="3" applyNumberFormat="0" applyAlignment="0" applyProtection="0">
      <alignment vertical="center"/>
    </xf>
    <xf numFmtId="0" fontId="34" fillId="22" borderId="7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9" fillId="0" borderId="0" xfId="0" applyFo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0" fontId="1" fillId="3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0" fontId="13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4" fillId="0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49" fontId="4" fillId="0" borderId="0" xfId="0" applyNumberFormat="1" applyFont="1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7" fillId="0" borderId="0" xfId="0" applyFont="1">
      <alignment vertical="center"/>
    </xf>
    <xf numFmtId="0" fontId="0" fillId="0" borderId="0" xfId="0" applyFont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horizontal="center" vertical="center" wrapText="1"/>
    </xf>
    <xf numFmtId="0" fontId="1" fillId="4" borderId="0" xfId="0" applyFont="1" applyFill="1">
      <alignment vertical="center"/>
    </xf>
    <xf numFmtId="0" fontId="0" fillId="4" borderId="0" xfId="0" applyFont="1" applyFill="1">
      <alignment vertical="center"/>
    </xf>
    <xf numFmtId="0" fontId="4" fillId="0" borderId="0" xfId="0" applyFont="1" applyFill="1">
      <alignment vertical="center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10" fontId="18" fillId="0" borderId="0" xfId="0" applyNumberFormat="1" applyFont="1" applyFill="1" applyAlignment="1">
      <alignment horizontal="center" vertical="center" wrapText="1"/>
    </xf>
    <xf numFmtId="0" fontId="8" fillId="0" borderId="0" xfId="0" applyFont="1" applyFill="1">
      <alignment vertical="center"/>
    </xf>
    <xf numFmtId="0" fontId="14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49" fontId="14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14" fillId="0" borderId="0" xfId="0" applyNumberFormat="1" applyFont="1" applyFill="1" applyAlignment="1">
      <alignment horizontal="center" vertical="center"/>
    </xf>
    <xf numFmtId="0" fontId="14" fillId="0" borderId="0" xfId="0" applyFont="1" applyFill="1" quotePrefix="1">
      <alignment vertical="center"/>
    </xf>
    <xf numFmtId="0" fontId="8" fillId="0" borderId="0" xfId="0" applyFont="1" applyFill="1" quotePrefix="1">
      <alignment vertical="center"/>
    </xf>
    <xf numFmtId="0" fontId="4" fillId="0" borderId="0" xfId="0" applyFont="1" applyFill="1" quotePrefix="1">
      <alignment vertical="center"/>
    </xf>
    <xf numFmtId="0" fontId="9" fillId="0" borderId="0" xfId="0" applyFont="1" quotePrefix="1">
      <alignment vertical="center"/>
    </xf>
    <xf numFmtId="0" fontId="0" fillId="0" borderId="0" xfId="0" quotePrefix="1">
      <alignment vertical="center"/>
    </xf>
    <xf numFmtId="0" fontId="0" fillId="4" borderId="0" xfId="0" applyFont="1" applyFill="1" quotePrefix="1">
      <alignment vertical="center"/>
    </xf>
    <xf numFmtId="0" fontId="0" fillId="4" borderId="0" xfId="0" applyFill="1" quotePrefix="1">
      <alignment vertical="center"/>
    </xf>
    <xf numFmtId="0" fontId="15" fillId="0" borderId="0" xfId="0" applyFont="1" quotePrefix="1">
      <alignment vertical="center"/>
    </xf>
    <xf numFmtId="0" fontId="17" fillId="0" borderId="0" xfId="0" applyFont="1" quotePrefix="1">
      <alignment vertical="center"/>
    </xf>
    <xf numFmtId="0" fontId="0" fillId="0" borderId="0" xfId="0" applyFont="1" quotePrefix="1">
      <alignment vertical="center"/>
    </xf>
    <xf numFmtId="49" fontId="18" fillId="0" borderId="0" xfId="0" applyNumberFormat="1" applyFont="1" applyFill="1" applyBorder="1" applyAlignment="1" quotePrefix="1">
      <alignment horizontal="center" vertical="center" wrapText="1"/>
    </xf>
    <xf numFmtId="49" fontId="15" fillId="0" borderId="0" xfId="0" applyNumberFormat="1" applyFont="1" applyFill="1" applyBorder="1" applyAlignment="1" quotePrefix="1">
      <alignment horizontal="center" vertical="center"/>
    </xf>
    <xf numFmtId="49" fontId="8" fillId="0" borderId="0" xfId="0" applyNumberFormat="1" applyFont="1" applyFill="1" applyBorder="1" applyAlignment="1" quotePrefix="1">
      <alignment horizontal="center" vertical="center"/>
    </xf>
    <xf numFmtId="49" fontId="4" fillId="0" borderId="0" xfId="0" applyNumberFormat="1" applyFont="1" applyFill="1" applyBorder="1" applyAlignment="1" quotePrefix="1">
      <alignment horizontal="center" vertical="center"/>
    </xf>
    <xf numFmtId="0" fontId="8" fillId="0" borderId="0" xfId="0" applyFont="1" applyFill="1" applyAlignment="1" quotePrefix="1">
      <alignment horizontal="center" vertical="center"/>
    </xf>
    <xf numFmtId="0" fontId="0" fillId="0" borderId="0" xfId="0" applyFill="1" quotePrefix="1">
      <alignment vertical="center"/>
    </xf>
    <xf numFmtId="0" fontId="4" fillId="0" borderId="0" xfId="0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8" fillId="0" borderId="0" xfId="0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0" fillId="0" borderId="0" xfId="0" applyFill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topLeftCell="A40" workbookViewId="0">
      <selection activeCell="I45" sqref="I45"/>
    </sheetView>
  </sheetViews>
  <sheetFormatPr defaultColWidth="9" defaultRowHeight="13.5"/>
  <cols>
    <col min="1" max="1" width="12.875" style="81" customWidth="1"/>
    <col min="2" max="2" width="8.875" style="81" customWidth="1"/>
    <col min="3" max="3" width="34.875" style="81" customWidth="1"/>
    <col min="4" max="4" width="8.875" style="82" customWidth="1"/>
    <col min="5" max="5" width="14.875" style="82" customWidth="1"/>
    <col min="6" max="6" width="5.25" style="82" customWidth="1"/>
    <col min="7" max="7" width="4.5" style="82" customWidth="1"/>
    <col min="8" max="8" width="9" style="83"/>
    <col min="9" max="16382" width="9" style="82"/>
    <col min="16384" max="16384" width="9" style="82"/>
  </cols>
  <sheetData>
    <row r="1" spans="1:7">
      <c r="A1" s="84" t="s">
        <v>0</v>
      </c>
      <c r="B1" s="84"/>
      <c r="C1" s="84"/>
      <c r="D1" s="84"/>
      <c r="E1" s="84"/>
      <c r="F1" s="84"/>
      <c r="G1" s="85"/>
    </row>
    <row r="2" spans="1:9">
      <c r="A2" s="86" t="s">
        <v>1</v>
      </c>
      <c r="B2" s="86" t="s">
        <v>2</v>
      </c>
      <c r="C2" s="86" t="s">
        <v>3</v>
      </c>
      <c r="D2" s="87" t="s">
        <v>4</v>
      </c>
      <c r="E2" s="87" t="s">
        <v>5</v>
      </c>
      <c r="F2" s="87"/>
      <c r="H2" s="83" t="s">
        <v>6</v>
      </c>
      <c r="I2" s="82" t="s">
        <v>7</v>
      </c>
    </row>
    <row r="3" spans="1:8">
      <c r="A3" s="86" t="s">
        <v>8</v>
      </c>
      <c r="B3" s="86"/>
      <c r="C3" s="86"/>
      <c r="D3" s="86"/>
      <c r="E3" s="86"/>
      <c r="F3" s="86"/>
      <c r="G3" s="81"/>
      <c r="H3" s="88"/>
    </row>
    <row r="4" spans="1:8">
      <c r="A4" s="86" t="s">
        <v>9</v>
      </c>
      <c r="B4" s="86" t="s">
        <v>10</v>
      </c>
      <c r="C4" s="86" t="s">
        <v>11</v>
      </c>
      <c r="D4" s="87" t="s">
        <v>12</v>
      </c>
      <c r="E4" s="87" t="s">
        <v>13</v>
      </c>
      <c r="F4" s="87"/>
      <c r="H4" s="88"/>
    </row>
    <row r="5" spans="1:8">
      <c r="A5" s="86"/>
      <c r="B5" s="86"/>
      <c r="C5" s="86" t="s">
        <v>14</v>
      </c>
      <c r="D5" s="87" t="s">
        <v>15</v>
      </c>
      <c r="E5" s="87" t="s">
        <v>16</v>
      </c>
      <c r="F5" s="87"/>
      <c r="H5" s="88" t="s">
        <v>17</v>
      </c>
    </row>
    <row r="6" spans="1:8">
      <c r="A6" s="86"/>
      <c r="B6" s="86"/>
      <c r="C6" s="50" t="s">
        <v>18</v>
      </c>
      <c r="D6" s="30" t="s">
        <v>19</v>
      </c>
      <c r="E6" s="30" t="s">
        <v>20</v>
      </c>
      <c r="F6" s="87"/>
      <c r="H6" s="88" t="s">
        <v>21</v>
      </c>
    </row>
    <row r="7" spans="1:8">
      <c r="A7" s="86"/>
      <c r="B7" s="86"/>
      <c r="C7" s="86" t="s">
        <v>22</v>
      </c>
      <c r="D7" s="87" t="s">
        <v>23</v>
      </c>
      <c r="E7" s="87" t="s">
        <v>24</v>
      </c>
      <c r="F7" s="87"/>
      <c r="H7" s="88"/>
    </row>
    <row r="8" spans="1:8">
      <c r="A8" s="89"/>
      <c r="B8" s="86" t="s">
        <v>25</v>
      </c>
      <c r="C8" s="90" t="s">
        <v>26</v>
      </c>
      <c r="D8" s="91" t="s">
        <v>27</v>
      </c>
      <c r="E8" s="91">
        <v>161725</v>
      </c>
      <c r="F8" s="87" t="s">
        <v>28</v>
      </c>
      <c r="H8" s="88" t="s">
        <v>29</v>
      </c>
    </row>
    <row r="9" spans="1:8">
      <c r="A9" s="89"/>
      <c r="B9" s="86"/>
      <c r="C9" s="86" t="s">
        <v>30</v>
      </c>
      <c r="D9" s="87" t="s">
        <v>15</v>
      </c>
      <c r="E9" s="87" t="s">
        <v>31</v>
      </c>
      <c r="F9" s="92" t="s">
        <v>32</v>
      </c>
      <c r="H9" s="88"/>
    </row>
    <row r="10" spans="1:8">
      <c r="A10" s="89"/>
      <c r="B10" s="86"/>
      <c r="C10" s="90" t="s">
        <v>33</v>
      </c>
      <c r="D10" s="91" t="s">
        <v>34</v>
      </c>
      <c r="E10" s="91" t="s">
        <v>35</v>
      </c>
      <c r="F10" s="87" t="s">
        <v>28</v>
      </c>
      <c r="H10" s="88"/>
    </row>
    <row r="11" spans="1:8">
      <c r="A11" s="89"/>
      <c r="B11" s="86" t="s">
        <v>36</v>
      </c>
      <c r="C11" s="90" t="s">
        <v>37</v>
      </c>
      <c r="D11" s="91" t="s">
        <v>34</v>
      </c>
      <c r="E11" s="91" t="s">
        <v>38</v>
      </c>
      <c r="F11" s="87" t="s">
        <v>39</v>
      </c>
      <c r="H11" s="88" t="s">
        <v>40</v>
      </c>
    </row>
    <row r="12" spans="1:8">
      <c r="A12" s="89"/>
      <c r="B12" s="86"/>
      <c r="C12" s="86" t="s">
        <v>41</v>
      </c>
      <c r="D12" s="92" t="s">
        <v>42</v>
      </c>
      <c r="E12" s="92" t="s">
        <v>43</v>
      </c>
      <c r="F12" s="92" t="s">
        <v>28</v>
      </c>
      <c r="G12" s="93"/>
      <c r="H12" s="94"/>
    </row>
    <row r="13" spans="1:8">
      <c r="A13" s="89"/>
      <c r="B13" s="86" t="s">
        <v>44</v>
      </c>
      <c r="C13" s="86" t="s">
        <v>45</v>
      </c>
      <c r="D13" s="92" t="s">
        <v>46</v>
      </c>
      <c r="E13" s="92" t="s">
        <v>47</v>
      </c>
      <c r="F13" s="92" t="s">
        <v>28</v>
      </c>
      <c r="G13" s="93"/>
      <c r="H13" s="94" t="s">
        <v>48</v>
      </c>
    </row>
    <row r="14" spans="1:9">
      <c r="A14" s="89"/>
      <c r="B14" s="86"/>
      <c r="C14" s="86"/>
      <c r="D14" s="95" t="s">
        <v>49</v>
      </c>
      <c r="E14" s="95" t="s">
        <v>50</v>
      </c>
      <c r="F14" s="92" t="s">
        <v>32</v>
      </c>
      <c r="G14" s="93"/>
      <c r="H14" s="94" t="s">
        <v>51</v>
      </c>
      <c r="I14" s="82" t="s">
        <v>52</v>
      </c>
    </row>
    <row r="15" spans="1:9">
      <c r="A15" s="89"/>
      <c r="B15" s="86"/>
      <c r="C15" s="86" t="s">
        <v>53</v>
      </c>
      <c r="D15" s="92" t="s">
        <v>54</v>
      </c>
      <c r="E15" s="92" t="s">
        <v>55</v>
      </c>
      <c r="F15" s="92" t="s">
        <v>32</v>
      </c>
      <c r="G15" s="93"/>
      <c r="H15" s="94"/>
      <c r="I15" s="82" t="s">
        <v>52</v>
      </c>
    </row>
    <row r="16" spans="1:8">
      <c r="A16" s="89"/>
      <c r="B16" s="86"/>
      <c r="C16" s="86" t="s">
        <v>56</v>
      </c>
      <c r="D16" s="92" t="s">
        <v>57</v>
      </c>
      <c r="E16" s="92" t="s">
        <v>58</v>
      </c>
      <c r="F16" s="92" t="s">
        <v>28</v>
      </c>
      <c r="G16" s="93"/>
      <c r="H16" s="94"/>
    </row>
    <row r="17" spans="1:8">
      <c r="A17" s="89"/>
      <c r="B17" s="86" t="s">
        <v>59</v>
      </c>
      <c r="C17" s="90" t="s">
        <v>60</v>
      </c>
      <c r="D17" s="95" t="s">
        <v>12</v>
      </c>
      <c r="E17" s="100" t="s">
        <v>61</v>
      </c>
      <c r="F17" s="92" t="s">
        <v>28</v>
      </c>
      <c r="G17" s="35"/>
      <c r="H17" s="94"/>
    </row>
    <row r="18" spans="1:8">
      <c r="A18" s="89"/>
      <c r="B18" s="86" t="s">
        <v>62</v>
      </c>
      <c r="C18" s="86" t="s">
        <v>63</v>
      </c>
      <c r="D18" s="92" t="s">
        <v>19</v>
      </c>
      <c r="E18" s="92" t="s">
        <v>64</v>
      </c>
      <c r="F18" s="92" t="s">
        <v>28</v>
      </c>
      <c r="G18" s="93"/>
      <c r="H18" s="94"/>
    </row>
    <row r="19" spans="1:8">
      <c r="A19" s="89"/>
      <c r="B19" s="86"/>
      <c r="C19" s="86" t="s">
        <v>65</v>
      </c>
      <c r="D19" s="92" t="s">
        <v>15</v>
      </c>
      <c r="E19" s="92" t="s">
        <v>66</v>
      </c>
      <c r="F19" s="92" t="s">
        <v>28</v>
      </c>
      <c r="G19" s="93"/>
      <c r="H19" s="94" t="s">
        <v>67</v>
      </c>
    </row>
    <row r="20" spans="1:9">
      <c r="A20" s="86"/>
      <c r="B20" s="86" t="s">
        <v>68</v>
      </c>
      <c r="C20" s="86" t="s">
        <v>69</v>
      </c>
      <c r="D20" s="92" t="s">
        <v>54</v>
      </c>
      <c r="E20" s="92" t="s">
        <v>70</v>
      </c>
      <c r="F20" s="92" t="s">
        <v>32</v>
      </c>
      <c r="G20" s="93"/>
      <c r="H20" s="94" t="s">
        <v>21</v>
      </c>
      <c r="I20" s="82" t="s">
        <v>52</v>
      </c>
    </row>
    <row r="21" spans="1:8">
      <c r="A21" s="86"/>
      <c r="B21" s="86" t="s">
        <v>71</v>
      </c>
      <c r="C21" s="86" t="s">
        <v>72</v>
      </c>
      <c r="D21" s="92" t="s">
        <v>73</v>
      </c>
      <c r="E21" s="92" t="s">
        <v>74</v>
      </c>
      <c r="F21" s="92" t="s">
        <v>28</v>
      </c>
      <c r="G21" s="93"/>
      <c r="H21" s="94"/>
    </row>
    <row r="22" spans="1:8">
      <c r="A22" s="89"/>
      <c r="B22" s="86" t="s">
        <v>75</v>
      </c>
      <c r="C22" s="86" t="s">
        <v>76</v>
      </c>
      <c r="D22" s="92" t="s">
        <v>15</v>
      </c>
      <c r="E22" s="92" t="s">
        <v>77</v>
      </c>
      <c r="F22" s="92" t="s">
        <v>39</v>
      </c>
      <c r="G22" s="93"/>
      <c r="H22" s="94" t="s">
        <v>29</v>
      </c>
    </row>
    <row r="23" spans="1:9">
      <c r="A23" s="89"/>
      <c r="B23" s="86" t="s">
        <v>78</v>
      </c>
      <c r="C23" s="86" t="s">
        <v>79</v>
      </c>
      <c r="D23" s="92" t="s">
        <v>80</v>
      </c>
      <c r="E23" s="92" t="s">
        <v>81</v>
      </c>
      <c r="F23" s="92" t="s">
        <v>32</v>
      </c>
      <c r="G23" s="93"/>
      <c r="H23" s="94" t="s">
        <v>82</v>
      </c>
      <c r="I23" s="82" t="s">
        <v>52</v>
      </c>
    </row>
    <row r="24" spans="1:9">
      <c r="A24" s="89"/>
      <c r="B24" s="86" t="s">
        <v>83</v>
      </c>
      <c r="C24" s="86" t="s">
        <v>84</v>
      </c>
      <c r="D24" s="92" t="s">
        <v>15</v>
      </c>
      <c r="E24" s="92" t="s">
        <v>85</v>
      </c>
      <c r="F24" s="92" t="s">
        <v>32</v>
      </c>
      <c r="G24" s="93"/>
      <c r="H24" s="94" t="s">
        <v>86</v>
      </c>
      <c r="I24" s="82" t="s">
        <v>52</v>
      </c>
    </row>
    <row r="25" spans="1:8">
      <c r="A25" s="89"/>
      <c r="B25" s="86" t="s">
        <v>87</v>
      </c>
      <c r="C25" s="86" t="s">
        <v>88</v>
      </c>
      <c r="D25" s="92" t="s">
        <v>15</v>
      </c>
      <c r="E25" s="92" t="s">
        <v>89</v>
      </c>
      <c r="F25" s="92" t="s">
        <v>32</v>
      </c>
      <c r="G25" s="93"/>
      <c r="H25" s="94" t="s">
        <v>21</v>
      </c>
    </row>
    <row r="26" spans="1:9">
      <c r="A26" s="89"/>
      <c r="B26" s="86" t="s">
        <v>90</v>
      </c>
      <c r="C26" s="86" t="s">
        <v>91</v>
      </c>
      <c r="D26" s="92" t="s">
        <v>92</v>
      </c>
      <c r="E26" s="92" t="s">
        <v>93</v>
      </c>
      <c r="F26" s="92" t="s">
        <v>32</v>
      </c>
      <c r="G26" s="93"/>
      <c r="H26" s="94"/>
      <c r="I26" s="82" t="s">
        <v>52</v>
      </c>
    </row>
    <row r="27" spans="1:8">
      <c r="A27" s="89"/>
      <c r="B27" s="86" t="s">
        <v>94</v>
      </c>
      <c r="C27" s="86" t="s">
        <v>95</v>
      </c>
      <c r="D27" s="92" t="s">
        <v>92</v>
      </c>
      <c r="E27" s="92" t="s">
        <v>96</v>
      </c>
      <c r="F27" s="92"/>
      <c r="G27" s="93"/>
      <c r="H27" s="94"/>
    </row>
    <row r="28" spans="1:9">
      <c r="A28" s="89"/>
      <c r="B28" s="86" t="s">
        <v>97</v>
      </c>
      <c r="C28" s="86" t="s">
        <v>98</v>
      </c>
      <c r="D28" s="92" t="s">
        <v>15</v>
      </c>
      <c r="E28" s="92" t="s">
        <v>99</v>
      </c>
      <c r="F28" s="92" t="s">
        <v>32</v>
      </c>
      <c r="G28" s="93"/>
      <c r="H28" s="94"/>
      <c r="I28" s="82" t="s">
        <v>52</v>
      </c>
    </row>
    <row r="29" spans="1:9">
      <c r="A29" s="89"/>
      <c r="B29" s="86" t="s">
        <v>100</v>
      </c>
      <c r="C29" s="86" t="s">
        <v>101</v>
      </c>
      <c r="D29" s="92" t="s">
        <v>92</v>
      </c>
      <c r="E29" s="92" t="s">
        <v>102</v>
      </c>
      <c r="F29" s="92" t="s">
        <v>28</v>
      </c>
      <c r="G29" s="93"/>
      <c r="H29" s="94" t="s">
        <v>103</v>
      </c>
      <c r="I29" s="82" t="s">
        <v>52</v>
      </c>
    </row>
    <row r="30" spans="1:9">
      <c r="A30" s="89"/>
      <c r="B30" s="86" t="s">
        <v>104</v>
      </c>
      <c r="C30" s="86" t="s">
        <v>105</v>
      </c>
      <c r="D30" s="92" t="s">
        <v>106</v>
      </c>
      <c r="E30" s="92" t="s">
        <v>107</v>
      </c>
      <c r="F30" s="92" t="s">
        <v>32</v>
      </c>
      <c r="G30" s="95"/>
      <c r="H30" s="94"/>
      <c r="I30" s="82" t="s">
        <v>52</v>
      </c>
    </row>
    <row r="31" spans="1:9">
      <c r="A31" s="89"/>
      <c r="B31" s="86"/>
      <c r="C31" s="90" t="s">
        <v>108</v>
      </c>
      <c r="D31" s="95" t="s">
        <v>109</v>
      </c>
      <c r="E31" s="95" t="s">
        <v>110</v>
      </c>
      <c r="F31" s="92" t="s">
        <v>32</v>
      </c>
      <c r="G31" s="93"/>
      <c r="H31" s="94" t="s">
        <v>111</v>
      </c>
      <c r="I31" s="82" t="s">
        <v>52</v>
      </c>
    </row>
    <row r="32" spans="1:8">
      <c r="A32" s="89"/>
      <c r="B32" s="86"/>
      <c r="C32" s="86" t="s">
        <v>112</v>
      </c>
      <c r="D32" s="92" t="s">
        <v>80</v>
      </c>
      <c r="E32" s="92" t="s">
        <v>113</v>
      </c>
      <c r="F32" s="92"/>
      <c r="G32" s="93"/>
      <c r="H32" s="94"/>
    </row>
    <row r="33" spans="1:8">
      <c r="A33" s="89"/>
      <c r="B33" s="86"/>
      <c r="C33" s="90" t="s">
        <v>114</v>
      </c>
      <c r="D33" s="95" t="s">
        <v>15</v>
      </c>
      <c r="E33" s="95" t="s">
        <v>115</v>
      </c>
      <c r="F33" s="92" t="s">
        <v>32</v>
      </c>
      <c r="G33" s="93"/>
      <c r="H33" s="94" t="s">
        <v>116</v>
      </c>
    </row>
    <row r="34" spans="8:8">
      <c r="H34" s="88"/>
    </row>
    <row r="35" spans="1:8">
      <c r="A35" s="86" t="s">
        <v>117</v>
      </c>
      <c r="B35" s="86"/>
      <c r="C35" s="86"/>
      <c r="D35" s="86"/>
      <c r="E35" s="86"/>
      <c r="F35" s="86"/>
      <c r="G35" s="86"/>
      <c r="H35" s="88">
        <v>65</v>
      </c>
    </row>
    <row r="36" spans="1:9">
      <c r="A36" s="84"/>
      <c r="B36" s="84"/>
      <c r="C36" s="84"/>
      <c r="D36" s="84"/>
      <c r="E36" s="84"/>
      <c r="F36" s="84"/>
      <c r="G36" s="96"/>
      <c r="H36" s="94"/>
      <c r="I36" s="93"/>
    </row>
    <row r="37" spans="1:9">
      <c r="A37" s="97"/>
      <c r="B37" s="97"/>
      <c r="C37" s="97"/>
      <c r="D37" s="97"/>
      <c r="E37" s="97"/>
      <c r="F37" s="97"/>
      <c r="G37" s="98"/>
      <c r="H37" s="94"/>
      <c r="I37" s="93"/>
    </row>
    <row r="38" spans="1:9">
      <c r="A38" s="84"/>
      <c r="B38" s="84" t="s">
        <v>29</v>
      </c>
      <c r="C38" s="84" t="s">
        <v>118</v>
      </c>
      <c r="D38" s="92" t="s">
        <v>34</v>
      </c>
      <c r="E38" s="92" t="s">
        <v>119</v>
      </c>
      <c r="F38" s="92"/>
      <c r="G38" s="93"/>
      <c r="H38" s="94"/>
      <c r="I38" s="93"/>
    </row>
    <row r="39" spans="1:9">
      <c r="A39" s="84"/>
      <c r="B39" s="84"/>
      <c r="C39" s="84" t="s">
        <v>120</v>
      </c>
      <c r="D39" s="92"/>
      <c r="E39" s="92" t="s">
        <v>121</v>
      </c>
      <c r="F39" s="92"/>
      <c r="G39" s="93"/>
      <c r="H39" s="94"/>
      <c r="I39" s="93"/>
    </row>
    <row r="40" spans="1:9">
      <c r="A40" s="84"/>
      <c r="B40" s="84" t="s">
        <v>21</v>
      </c>
      <c r="C40" s="99" t="s">
        <v>122</v>
      </c>
      <c r="D40" s="95" t="s">
        <v>123</v>
      </c>
      <c r="E40" s="95" t="s">
        <v>124</v>
      </c>
      <c r="F40" s="92"/>
      <c r="G40" s="93"/>
      <c r="H40" s="94" t="s">
        <v>29</v>
      </c>
      <c r="I40" s="93"/>
    </row>
    <row r="41" spans="1:9">
      <c r="A41" s="84"/>
      <c r="B41" s="84"/>
      <c r="C41" s="84" t="s">
        <v>125</v>
      </c>
      <c r="D41" s="92" t="s">
        <v>123</v>
      </c>
      <c r="E41" s="95" t="s">
        <v>126</v>
      </c>
      <c r="F41" s="92"/>
      <c r="G41" s="93"/>
      <c r="H41" s="94"/>
      <c r="I41" s="93"/>
    </row>
    <row r="42" spans="1:9">
      <c r="A42" s="84"/>
      <c r="B42" s="84"/>
      <c r="C42" s="84" t="s">
        <v>127</v>
      </c>
      <c r="D42" s="92" t="s">
        <v>123</v>
      </c>
      <c r="E42" s="92" t="s">
        <v>128</v>
      </c>
      <c r="F42" s="92"/>
      <c r="G42" s="93"/>
      <c r="H42" s="94"/>
      <c r="I42" s="93"/>
    </row>
    <row r="43" spans="1:9">
      <c r="A43" s="84"/>
      <c r="B43" s="84" t="s">
        <v>21</v>
      </c>
      <c r="C43" s="99" t="s">
        <v>129</v>
      </c>
      <c r="D43" s="95" t="s">
        <v>12</v>
      </c>
      <c r="E43" s="95" t="s">
        <v>130</v>
      </c>
      <c r="F43" s="92"/>
      <c r="G43" s="93"/>
      <c r="H43" s="94" t="s">
        <v>131</v>
      </c>
      <c r="I43" s="93"/>
    </row>
    <row r="44" spans="1:9">
      <c r="A44" s="84"/>
      <c r="B44" s="84"/>
      <c r="C44" s="84" t="s">
        <v>132</v>
      </c>
      <c r="D44" s="92" t="s">
        <v>12</v>
      </c>
      <c r="E44" s="92" t="s">
        <v>133</v>
      </c>
      <c r="F44" s="92"/>
      <c r="G44" s="93"/>
      <c r="H44" s="94"/>
      <c r="I44" s="93"/>
    </row>
    <row r="45" spans="1:9">
      <c r="A45" s="84"/>
      <c r="B45" s="84"/>
      <c r="C45" s="84" t="s">
        <v>134</v>
      </c>
      <c r="D45" s="92"/>
      <c r="E45" s="95" t="s">
        <v>135</v>
      </c>
      <c r="F45" s="92"/>
      <c r="G45" s="93"/>
      <c r="H45" s="94"/>
      <c r="I45" s="93"/>
    </row>
    <row r="46" spans="1:9">
      <c r="A46" s="84"/>
      <c r="B46" s="84" t="s">
        <v>29</v>
      </c>
      <c r="C46" s="84" t="s">
        <v>136</v>
      </c>
      <c r="D46" s="92" t="s">
        <v>137</v>
      </c>
      <c r="E46" s="95" t="s">
        <v>138</v>
      </c>
      <c r="F46" s="92"/>
      <c r="G46" s="93"/>
      <c r="H46" s="94"/>
      <c r="I46" s="93"/>
    </row>
    <row r="47" spans="1:9">
      <c r="A47" s="84"/>
      <c r="B47" s="84" t="s">
        <v>29</v>
      </c>
      <c r="C47" s="84" t="s">
        <v>139</v>
      </c>
      <c r="D47" s="92" t="s">
        <v>140</v>
      </c>
      <c r="E47" s="92" t="s">
        <v>141</v>
      </c>
      <c r="F47" s="92"/>
      <c r="G47" s="93"/>
      <c r="H47" s="94"/>
      <c r="I47" s="93"/>
    </row>
    <row r="48" spans="1:9">
      <c r="A48" s="84"/>
      <c r="B48" s="84" t="s">
        <v>29</v>
      </c>
      <c r="C48" s="84" t="s">
        <v>142</v>
      </c>
      <c r="D48" s="92"/>
      <c r="E48" s="95" t="s">
        <v>143</v>
      </c>
      <c r="F48" s="92"/>
      <c r="G48" s="93"/>
      <c r="H48" s="94"/>
      <c r="I48" s="93"/>
    </row>
    <row r="49" spans="1:9">
      <c r="A49" s="84"/>
      <c r="B49" s="84" t="s">
        <v>21</v>
      </c>
      <c r="C49" s="84" t="s">
        <v>144</v>
      </c>
      <c r="D49" s="92" t="s">
        <v>145</v>
      </c>
      <c r="E49" s="92" t="s">
        <v>146</v>
      </c>
      <c r="F49" s="92"/>
      <c r="G49" s="93"/>
      <c r="H49" s="94" t="s">
        <v>21</v>
      </c>
      <c r="I49" s="93"/>
    </row>
    <row r="50" spans="1:9">
      <c r="A50" s="84"/>
      <c r="B50" s="84"/>
      <c r="C50" s="84" t="s">
        <v>147</v>
      </c>
      <c r="D50" s="92" t="s">
        <v>145</v>
      </c>
      <c r="E50" s="95" t="s">
        <v>148</v>
      </c>
      <c r="F50" s="92"/>
      <c r="G50" s="93"/>
      <c r="H50" s="94"/>
      <c r="I50" s="93"/>
    </row>
    <row r="51" spans="1:9">
      <c r="A51" s="84"/>
      <c r="B51" s="84" t="s">
        <v>21</v>
      </c>
      <c r="C51" s="84" t="s">
        <v>149</v>
      </c>
      <c r="D51" s="92" t="s">
        <v>150</v>
      </c>
      <c r="E51" s="92" t="s">
        <v>151</v>
      </c>
      <c r="F51" s="92"/>
      <c r="G51" s="93"/>
      <c r="H51" s="94" t="s">
        <v>103</v>
      </c>
      <c r="I51" s="93"/>
    </row>
    <row r="52" spans="1:9">
      <c r="A52" s="84"/>
      <c r="B52" s="84"/>
      <c r="C52" s="84" t="s">
        <v>152</v>
      </c>
      <c r="D52" s="92" t="s">
        <v>153</v>
      </c>
      <c r="E52" s="92" t="s">
        <v>154</v>
      </c>
      <c r="F52" s="92"/>
      <c r="G52" s="93"/>
      <c r="H52" s="94"/>
      <c r="I52" s="93"/>
    </row>
    <row r="53" spans="1:9">
      <c r="A53" s="84"/>
      <c r="B53" s="84" t="s">
        <v>21</v>
      </c>
      <c r="C53" s="84" t="s">
        <v>155</v>
      </c>
      <c r="D53" s="92" t="s">
        <v>106</v>
      </c>
      <c r="E53" s="92" t="s">
        <v>156</v>
      </c>
      <c r="F53" s="92"/>
      <c r="G53" s="93"/>
      <c r="H53" s="94" t="s">
        <v>21</v>
      </c>
      <c r="I53" s="93"/>
    </row>
    <row r="54" spans="1:9">
      <c r="A54" s="84"/>
      <c r="B54" s="84"/>
      <c r="C54" s="84" t="s">
        <v>157</v>
      </c>
      <c r="D54" s="92" t="s">
        <v>92</v>
      </c>
      <c r="E54" s="92" t="s">
        <v>158</v>
      </c>
      <c r="F54" s="92"/>
      <c r="G54" s="93"/>
      <c r="H54" s="94"/>
      <c r="I54" s="93"/>
    </row>
    <row r="55" spans="1:9">
      <c r="A55" s="84"/>
      <c r="B55" s="84" t="s">
        <v>29</v>
      </c>
      <c r="C55" s="84" t="s">
        <v>159</v>
      </c>
      <c r="D55" s="92" t="s">
        <v>160</v>
      </c>
      <c r="E55" s="92" t="s">
        <v>161</v>
      </c>
      <c r="F55" s="92"/>
      <c r="G55" s="93"/>
      <c r="H55" s="94"/>
      <c r="I55" s="93"/>
    </row>
    <row r="56" spans="1:8">
      <c r="A56" s="86"/>
      <c r="B56" s="86"/>
      <c r="C56" s="86" t="s">
        <v>162</v>
      </c>
      <c r="D56" s="87"/>
      <c r="E56" s="91" t="s">
        <v>163</v>
      </c>
      <c r="F56" s="87"/>
      <c r="H56" s="88"/>
    </row>
    <row r="57" spans="1:8">
      <c r="A57" s="86"/>
      <c r="B57" s="86"/>
      <c r="C57" s="86" t="s">
        <v>164</v>
      </c>
      <c r="D57" s="87"/>
      <c r="E57" s="87" t="s">
        <v>165</v>
      </c>
      <c r="F57" s="87"/>
      <c r="H57" s="88"/>
    </row>
    <row r="58" spans="1:8">
      <c r="A58" s="86"/>
      <c r="B58" s="86"/>
      <c r="C58" s="86" t="s">
        <v>166</v>
      </c>
      <c r="D58" s="87"/>
      <c r="E58" s="87" t="s">
        <v>167</v>
      </c>
      <c r="F58" s="87"/>
      <c r="H58" s="88" t="s">
        <v>131</v>
      </c>
    </row>
    <row r="59" spans="1:6">
      <c r="A59" s="86"/>
      <c r="B59" s="86"/>
      <c r="C59" s="86"/>
      <c r="D59" s="87"/>
      <c r="E59" s="87"/>
      <c r="F59" s="87"/>
    </row>
    <row r="60" spans="1:8">
      <c r="A60" s="86"/>
      <c r="B60" s="86"/>
      <c r="C60" s="86" t="s">
        <v>117</v>
      </c>
      <c r="D60" s="87"/>
      <c r="E60" s="87"/>
      <c r="F60" s="87"/>
      <c r="H60" s="83">
        <v>6</v>
      </c>
    </row>
    <row r="61" spans="1:6">
      <c r="A61" s="86"/>
      <c r="B61" s="86"/>
      <c r="C61" s="86"/>
      <c r="D61" s="87"/>
      <c r="E61" s="87"/>
      <c r="F61" s="87"/>
    </row>
    <row r="62" spans="1:6">
      <c r="A62" s="86"/>
      <c r="B62" s="86"/>
      <c r="C62" s="86"/>
      <c r="D62" s="87"/>
      <c r="E62" s="87"/>
      <c r="F62" s="87"/>
    </row>
    <row r="63" spans="1:6">
      <c r="A63" s="30"/>
      <c r="B63" s="86"/>
      <c r="C63" s="30" t="s">
        <v>168</v>
      </c>
      <c r="D63" s="87"/>
      <c r="E63" s="87"/>
      <c r="F63" s="87"/>
    </row>
    <row r="64" spans="1:6">
      <c r="A64" s="86"/>
      <c r="B64" s="86"/>
      <c r="C64" s="30" t="s">
        <v>169</v>
      </c>
      <c r="D64" s="87"/>
      <c r="E64" s="87"/>
      <c r="F64" s="87"/>
    </row>
    <row r="65" spans="1:6">
      <c r="A65" s="86"/>
      <c r="B65" s="86"/>
      <c r="C65" s="30" t="s">
        <v>170</v>
      </c>
      <c r="D65" s="87"/>
      <c r="E65" s="87"/>
      <c r="F65" s="87"/>
    </row>
    <row r="66" spans="1:6">
      <c r="A66" s="86"/>
      <c r="B66" s="86"/>
      <c r="C66" s="30" t="s">
        <v>171</v>
      </c>
      <c r="D66" s="87"/>
      <c r="E66" s="87"/>
      <c r="F66" s="87"/>
    </row>
    <row r="67" spans="1:6">
      <c r="A67" s="86"/>
      <c r="B67" s="86"/>
      <c r="C67" s="80" t="s">
        <v>172</v>
      </c>
      <c r="D67" s="87"/>
      <c r="E67" s="87"/>
      <c r="F67" s="87"/>
    </row>
    <row r="68" spans="1:6">
      <c r="A68" s="86"/>
      <c r="B68" s="86"/>
      <c r="C68" s="30" t="s">
        <v>173</v>
      </c>
      <c r="D68" s="87"/>
      <c r="E68" s="87"/>
      <c r="F68" s="87"/>
    </row>
    <row r="69" spans="1:6">
      <c r="A69" s="86"/>
      <c r="B69" s="86"/>
      <c r="C69" s="30" t="s">
        <v>174</v>
      </c>
      <c r="D69" s="87"/>
      <c r="E69" s="87"/>
      <c r="F69" s="87"/>
    </row>
    <row r="70" spans="1:6">
      <c r="A70" s="86"/>
      <c r="B70" s="86"/>
      <c r="C70" s="80" t="s">
        <v>175</v>
      </c>
      <c r="D70" s="87"/>
      <c r="E70" s="87"/>
      <c r="F70" s="87"/>
    </row>
    <row r="71" spans="1:6">
      <c r="A71" s="86"/>
      <c r="B71" s="86"/>
      <c r="C71" s="30"/>
      <c r="D71" s="87"/>
      <c r="E71" s="87"/>
      <c r="F71" s="87"/>
    </row>
    <row r="72" spans="1:6">
      <c r="A72" s="86"/>
      <c r="B72" s="86"/>
      <c r="C72" s="30"/>
      <c r="D72" s="87"/>
      <c r="E72" s="87"/>
      <c r="F72" s="87"/>
    </row>
    <row r="73" spans="1:6">
      <c r="A73" s="86"/>
      <c r="B73" s="86"/>
      <c r="C73" s="86"/>
      <c r="D73" s="87"/>
      <c r="E73" s="87"/>
      <c r="F73" s="87"/>
    </row>
    <row r="74" spans="1:6">
      <c r="A74" s="86"/>
      <c r="B74" s="86"/>
      <c r="C74" s="86"/>
      <c r="D74" s="87"/>
      <c r="E74" s="87"/>
      <c r="F74" s="87"/>
    </row>
    <row r="75" spans="1:6">
      <c r="A75" s="86"/>
      <c r="B75" s="86"/>
      <c r="C75" s="86"/>
      <c r="D75" s="87"/>
      <c r="E75" s="87"/>
      <c r="F75" s="87"/>
    </row>
  </sheetData>
  <mergeCells count="13">
    <mergeCell ref="A1:F1"/>
    <mergeCell ref="A3:F3"/>
    <mergeCell ref="A35:G35"/>
    <mergeCell ref="A36:F36"/>
    <mergeCell ref="A37:F37"/>
    <mergeCell ref="A4:A7"/>
    <mergeCell ref="B4:B7"/>
    <mergeCell ref="B8:B10"/>
    <mergeCell ref="B11:B12"/>
    <mergeCell ref="B13:B16"/>
    <mergeCell ref="B18:B19"/>
    <mergeCell ref="B31:B33"/>
    <mergeCell ref="C13:C1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5" sqref="A5:A13"/>
    </sheetView>
  </sheetViews>
  <sheetFormatPr defaultColWidth="9" defaultRowHeight="13.5"/>
  <cols>
    <col min="5" max="5" width="12.125" customWidth="1"/>
    <col min="6" max="6" width="9.75" customWidth="1"/>
    <col min="9" max="9" width="12.625"/>
  </cols>
  <sheetData>
    <row r="1" spans="1:1">
      <c r="A1" t="s">
        <v>176</v>
      </c>
    </row>
    <row r="4" spans="1:8">
      <c r="A4" t="s">
        <v>177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</row>
    <row r="5" spans="1:9">
      <c r="A5">
        <v>161005</v>
      </c>
      <c r="B5">
        <v>142.6</v>
      </c>
      <c r="C5" s="80">
        <v>58.96</v>
      </c>
      <c r="D5" s="23">
        <v>0.78</v>
      </c>
      <c r="E5" s="80">
        <v>26.39</v>
      </c>
      <c r="F5">
        <v>48.26</v>
      </c>
      <c r="G5">
        <v>1</v>
      </c>
      <c r="H5">
        <v>2</v>
      </c>
      <c r="I5">
        <f>G5-H5</f>
        <v>-1</v>
      </c>
    </row>
    <row r="6" spans="1:9">
      <c r="A6">
        <v>519069</v>
      </c>
      <c r="B6">
        <v>147.43</v>
      </c>
      <c r="C6">
        <v>37.71</v>
      </c>
      <c r="D6">
        <v>0.77</v>
      </c>
      <c r="E6">
        <v>23.54</v>
      </c>
      <c r="F6" s="80">
        <v>31.53</v>
      </c>
      <c r="G6">
        <v>0</v>
      </c>
      <c r="H6">
        <v>1</v>
      </c>
      <c r="I6">
        <f t="shared" ref="I6:I13" si="0">G6-H6</f>
        <v>-1</v>
      </c>
    </row>
    <row r="7" spans="1:9">
      <c r="A7">
        <v>100022</v>
      </c>
      <c r="B7">
        <v>29.52</v>
      </c>
      <c r="C7" s="80">
        <v>59.57</v>
      </c>
      <c r="D7" s="80">
        <v>0.69</v>
      </c>
      <c r="E7" s="80">
        <v>26.21</v>
      </c>
      <c r="F7" s="23">
        <v>68.88</v>
      </c>
      <c r="G7">
        <v>1</v>
      </c>
      <c r="H7">
        <v>3</v>
      </c>
      <c r="I7">
        <f t="shared" si="0"/>
        <v>-2</v>
      </c>
    </row>
    <row r="8" spans="1:9">
      <c r="A8" s="23">
        <v>110011</v>
      </c>
      <c r="B8">
        <v>191.52</v>
      </c>
      <c r="C8" s="23">
        <v>35.23</v>
      </c>
      <c r="D8" s="23">
        <v>0.8</v>
      </c>
      <c r="E8">
        <v>22.97</v>
      </c>
      <c r="F8" s="23">
        <v>53.32</v>
      </c>
      <c r="G8">
        <v>3</v>
      </c>
      <c r="H8">
        <v>0</v>
      </c>
      <c r="I8" s="23">
        <f t="shared" si="0"/>
        <v>3</v>
      </c>
    </row>
    <row r="9" spans="1:9">
      <c r="A9">
        <v>270002</v>
      </c>
      <c r="B9">
        <v>217.22</v>
      </c>
      <c r="C9" s="80">
        <v>61.64</v>
      </c>
      <c r="D9">
        <v>0.74</v>
      </c>
      <c r="E9" s="23">
        <v>20.82</v>
      </c>
      <c r="F9" s="80">
        <v>25.86</v>
      </c>
      <c r="G9">
        <v>1</v>
      </c>
      <c r="H9">
        <v>2</v>
      </c>
      <c r="I9">
        <f t="shared" si="0"/>
        <v>-1</v>
      </c>
    </row>
    <row r="10" spans="1:9">
      <c r="A10">
        <v>260101</v>
      </c>
      <c r="B10">
        <v>52.2</v>
      </c>
      <c r="C10">
        <v>58.57</v>
      </c>
      <c r="D10" s="80">
        <v>0.66</v>
      </c>
      <c r="E10" s="80">
        <v>24.29</v>
      </c>
      <c r="F10">
        <v>35.44</v>
      </c>
      <c r="G10">
        <v>0</v>
      </c>
      <c r="H10">
        <v>2</v>
      </c>
      <c r="I10">
        <f t="shared" si="0"/>
        <v>-2</v>
      </c>
    </row>
    <row r="11" spans="1:9">
      <c r="A11" s="23">
        <v>519697</v>
      </c>
      <c r="B11">
        <v>54.79</v>
      </c>
      <c r="C11" s="23">
        <v>35.48</v>
      </c>
      <c r="D11" s="23">
        <v>0.84</v>
      </c>
      <c r="E11" s="23">
        <v>18.56</v>
      </c>
      <c r="F11" s="80">
        <v>29.82</v>
      </c>
      <c r="G11">
        <v>3</v>
      </c>
      <c r="H11">
        <v>1</v>
      </c>
      <c r="I11" s="23">
        <f t="shared" si="0"/>
        <v>2</v>
      </c>
    </row>
    <row r="12" spans="1:9">
      <c r="A12">
        <v>519066</v>
      </c>
      <c r="B12">
        <v>62.06</v>
      </c>
      <c r="C12">
        <v>42</v>
      </c>
      <c r="D12" s="80">
        <v>0.69</v>
      </c>
      <c r="E12">
        <v>23.43</v>
      </c>
      <c r="F12" s="23">
        <v>50.27</v>
      </c>
      <c r="G12">
        <v>1</v>
      </c>
      <c r="H12">
        <v>1</v>
      </c>
      <c r="I12">
        <f t="shared" si="0"/>
        <v>0</v>
      </c>
    </row>
    <row r="13" spans="1:9">
      <c r="A13" s="23">
        <v>166002</v>
      </c>
      <c r="B13">
        <v>104.13</v>
      </c>
      <c r="C13" s="23">
        <v>33.56</v>
      </c>
      <c r="D13">
        <v>0.73</v>
      </c>
      <c r="E13" s="23">
        <v>20.72</v>
      </c>
      <c r="F13">
        <v>33.55</v>
      </c>
      <c r="G13">
        <v>2</v>
      </c>
      <c r="H13">
        <v>0</v>
      </c>
      <c r="I13" s="23">
        <f t="shared" si="0"/>
        <v>2</v>
      </c>
    </row>
    <row r="16" spans="3:7">
      <c r="C16">
        <v>1</v>
      </c>
      <c r="D16">
        <v>2</v>
      </c>
      <c r="E16">
        <v>3</v>
      </c>
      <c r="F16">
        <v>1</v>
      </c>
      <c r="G16">
        <v>7</v>
      </c>
    </row>
    <row r="17" spans="3:7">
      <c r="C17">
        <v>2</v>
      </c>
      <c r="D17">
        <v>2</v>
      </c>
      <c r="E17">
        <v>1</v>
      </c>
      <c r="F17">
        <v>3</v>
      </c>
      <c r="G17">
        <v>8</v>
      </c>
    </row>
    <row r="18" spans="3:7">
      <c r="C18">
        <v>3</v>
      </c>
      <c r="D18">
        <v>3</v>
      </c>
      <c r="E18">
        <v>2</v>
      </c>
      <c r="F18">
        <v>2</v>
      </c>
      <c r="G18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32"/>
  <sheetViews>
    <sheetView topLeftCell="A3" workbookViewId="0">
      <selection activeCell="H18" sqref="H18"/>
    </sheetView>
  </sheetViews>
  <sheetFormatPr defaultColWidth="9" defaultRowHeight="13.5"/>
  <cols>
    <col min="1" max="1" width="7.375" style="75" customWidth="1"/>
    <col min="2" max="2" width="3.375" style="75" customWidth="1"/>
    <col min="3" max="3" width="7.625" style="75" customWidth="1"/>
    <col min="4" max="4" width="6.125" style="75" customWidth="1"/>
    <col min="5" max="5" width="9.375" style="75" customWidth="1"/>
    <col min="6" max="6" width="7.375" style="75" customWidth="1"/>
    <col min="7" max="7" width="3.375" style="75" customWidth="1"/>
    <col min="8" max="8" width="18.125" style="75" customWidth="1"/>
    <col min="9" max="9" width="6.125" style="75" customWidth="1"/>
    <col min="10" max="10" width="10.375" style="75" customWidth="1"/>
    <col min="11" max="14" width="9" style="75"/>
    <col min="15" max="15" width="9.375" style="75"/>
    <col min="16" max="24" width="9" style="75"/>
    <col min="25" max="25" width="9.375" style="75"/>
    <col min="26" max="16384" width="9" style="75"/>
  </cols>
  <sheetData>
    <row r="3" ht="15.75" spans="1:25">
      <c r="A3" s="101" t="s">
        <v>185</v>
      </c>
      <c r="B3" s="76">
        <v>1</v>
      </c>
      <c r="C3" s="77" t="s">
        <v>186</v>
      </c>
      <c r="D3" s="78">
        <v>0.0896</v>
      </c>
      <c r="E3" s="76">
        <v>19835.34</v>
      </c>
      <c r="F3" s="102" t="s">
        <v>130</v>
      </c>
      <c r="G3" s="76">
        <v>1</v>
      </c>
      <c r="H3" s="77" t="s">
        <v>187</v>
      </c>
      <c r="I3" s="78">
        <v>0.0962</v>
      </c>
      <c r="J3" s="76">
        <v>175338.83</v>
      </c>
      <c r="K3" s="102" t="s">
        <v>143</v>
      </c>
      <c r="L3" s="76">
        <v>1</v>
      </c>
      <c r="M3" s="77" t="s">
        <v>188</v>
      </c>
      <c r="N3" s="78">
        <v>0.0545</v>
      </c>
      <c r="O3" s="76">
        <v>50698.38</v>
      </c>
      <c r="P3"/>
      <c r="Q3"/>
      <c r="R3"/>
      <c r="S3"/>
      <c r="T3"/>
      <c r="U3"/>
      <c r="V3"/>
      <c r="W3"/>
      <c r="X3"/>
      <c r="Y3"/>
    </row>
    <row r="4" ht="15.75" spans="2:25">
      <c r="B4" s="76">
        <v>2</v>
      </c>
      <c r="C4" s="77" t="s">
        <v>189</v>
      </c>
      <c r="D4" s="78">
        <v>0.0831</v>
      </c>
      <c r="E4" s="76">
        <v>18388.43</v>
      </c>
      <c r="G4" s="76">
        <v>2</v>
      </c>
      <c r="H4" s="77" t="s">
        <v>190</v>
      </c>
      <c r="I4" s="78">
        <v>0.0957</v>
      </c>
      <c r="J4" s="76">
        <v>174388.43</v>
      </c>
      <c r="L4" s="76">
        <v>2</v>
      </c>
      <c r="M4" s="77" t="s">
        <v>191</v>
      </c>
      <c r="N4" s="78">
        <v>0.0544</v>
      </c>
      <c r="O4" s="76">
        <v>50635.24</v>
      </c>
      <c r="P4"/>
      <c r="Q4"/>
      <c r="R4"/>
      <c r="S4"/>
      <c r="T4"/>
      <c r="U4"/>
      <c r="V4"/>
      <c r="W4"/>
      <c r="X4"/>
      <c r="Y4"/>
    </row>
    <row r="5" ht="15.75" spans="2:25">
      <c r="B5" s="76">
        <v>3</v>
      </c>
      <c r="C5" s="77" t="s">
        <v>192</v>
      </c>
      <c r="D5" s="78">
        <v>0.083</v>
      </c>
      <c r="E5" s="76">
        <v>18379.39</v>
      </c>
      <c r="G5" s="76">
        <v>3</v>
      </c>
      <c r="H5" s="77" t="s">
        <v>193</v>
      </c>
      <c r="I5" s="78">
        <v>0.0948</v>
      </c>
      <c r="J5" s="76">
        <v>172661.29</v>
      </c>
      <c r="L5" s="76">
        <v>3</v>
      </c>
      <c r="M5" s="77" t="s">
        <v>194</v>
      </c>
      <c r="N5" s="78">
        <v>0.052</v>
      </c>
      <c r="O5" s="76">
        <v>48383.93</v>
      </c>
      <c r="P5"/>
      <c r="Q5"/>
      <c r="R5"/>
      <c r="S5"/>
      <c r="T5"/>
      <c r="U5"/>
      <c r="V5"/>
      <c r="W5"/>
      <c r="X5"/>
      <c r="Y5"/>
    </row>
    <row r="6" ht="15.75" spans="2:25">
      <c r="B6" s="76">
        <v>4</v>
      </c>
      <c r="C6" s="77" t="s">
        <v>195</v>
      </c>
      <c r="D6" s="78">
        <v>0.0821</v>
      </c>
      <c r="E6" s="76">
        <v>18163.33</v>
      </c>
      <c r="G6" s="76">
        <v>4</v>
      </c>
      <c r="H6" s="77" t="s">
        <v>186</v>
      </c>
      <c r="I6" s="78">
        <v>0.0945</v>
      </c>
      <c r="J6" s="76">
        <v>172182.59</v>
      </c>
      <c r="L6" s="76">
        <v>4</v>
      </c>
      <c r="M6" s="77" t="s">
        <v>196</v>
      </c>
      <c r="N6" s="78">
        <v>0.05</v>
      </c>
      <c r="O6" s="76">
        <v>46478.37</v>
      </c>
      <c r="P6"/>
      <c r="Q6"/>
      <c r="R6"/>
      <c r="S6"/>
      <c r="T6"/>
      <c r="U6"/>
      <c r="V6"/>
      <c r="W6"/>
      <c r="X6"/>
      <c r="Y6"/>
    </row>
    <row r="7" ht="15.75" spans="2:25">
      <c r="B7" s="76">
        <v>5</v>
      </c>
      <c r="C7" s="77" t="s">
        <v>197</v>
      </c>
      <c r="D7" s="78">
        <v>0.08</v>
      </c>
      <c r="E7" s="76">
        <v>17713.41</v>
      </c>
      <c r="G7" s="76">
        <v>5</v>
      </c>
      <c r="H7" s="77" t="s">
        <v>198</v>
      </c>
      <c r="I7" s="78">
        <v>0.0943</v>
      </c>
      <c r="J7" s="76">
        <v>171761.49</v>
      </c>
      <c r="L7" s="76">
        <v>5</v>
      </c>
      <c r="M7" s="77" t="s">
        <v>199</v>
      </c>
      <c r="N7" s="78">
        <v>0.0463</v>
      </c>
      <c r="O7" s="76">
        <v>43039.48</v>
      </c>
      <c r="P7"/>
      <c r="Q7"/>
      <c r="R7"/>
      <c r="S7"/>
      <c r="T7"/>
      <c r="U7"/>
      <c r="V7"/>
      <c r="W7"/>
      <c r="X7"/>
      <c r="Y7"/>
    </row>
    <row r="8" ht="15.75" spans="2:25">
      <c r="B8" s="76">
        <v>6</v>
      </c>
      <c r="C8" s="77" t="s">
        <v>200</v>
      </c>
      <c r="D8" s="78">
        <v>0.08</v>
      </c>
      <c r="E8" s="76">
        <v>17711.66</v>
      </c>
      <c r="G8" s="76">
        <v>6</v>
      </c>
      <c r="H8" s="77" t="s">
        <v>201</v>
      </c>
      <c r="I8" s="78">
        <v>0.0719</v>
      </c>
      <c r="J8" s="76">
        <v>131068.01</v>
      </c>
      <c r="L8" s="76">
        <v>6</v>
      </c>
      <c r="M8" s="77" t="s">
        <v>202</v>
      </c>
      <c r="N8" s="78">
        <v>0.0458</v>
      </c>
      <c r="O8" s="76">
        <v>42578.17</v>
      </c>
      <c r="P8"/>
      <c r="Q8"/>
      <c r="R8"/>
      <c r="S8"/>
      <c r="T8"/>
      <c r="U8"/>
      <c r="V8"/>
      <c r="W8"/>
      <c r="X8"/>
      <c r="Y8"/>
    </row>
    <row r="9" ht="15.75" spans="2:25">
      <c r="B9" s="76">
        <v>7</v>
      </c>
      <c r="C9" s="77" t="s">
        <v>203</v>
      </c>
      <c r="D9" s="78">
        <v>0.068</v>
      </c>
      <c r="E9" s="76">
        <v>15041.67</v>
      </c>
      <c r="G9" s="76">
        <v>7</v>
      </c>
      <c r="H9" s="77" t="s">
        <v>204</v>
      </c>
      <c r="I9" s="78">
        <v>0.0622</v>
      </c>
      <c r="J9" s="76">
        <v>113364.57</v>
      </c>
      <c r="L9" s="76">
        <v>7</v>
      </c>
      <c r="M9" s="77" t="s">
        <v>205</v>
      </c>
      <c r="N9" s="78">
        <v>0.0402</v>
      </c>
      <c r="O9" s="76">
        <v>37415.72</v>
      </c>
      <c r="P9"/>
      <c r="Q9"/>
      <c r="R9"/>
      <c r="S9"/>
      <c r="T9"/>
      <c r="U9"/>
      <c r="V9"/>
      <c r="W9"/>
      <c r="X9"/>
      <c r="Y9"/>
    </row>
    <row r="10" ht="15.75" spans="2:25">
      <c r="B10" s="76">
        <v>8</v>
      </c>
      <c r="C10" s="77" t="s">
        <v>206</v>
      </c>
      <c r="D10" s="78">
        <v>0.0558</v>
      </c>
      <c r="E10" s="76">
        <v>12344.33</v>
      </c>
      <c r="G10" s="76">
        <v>8</v>
      </c>
      <c r="H10" s="77" t="s">
        <v>207</v>
      </c>
      <c r="I10" s="78">
        <v>0.0405</v>
      </c>
      <c r="J10" s="76">
        <v>73829.7</v>
      </c>
      <c r="L10" s="76">
        <v>8</v>
      </c>
      <c r="M10" s="77" t="s">
        <v>208</v>
      </c>
      <c r="N10" s="78">
        <v>0.0336</v>
      </c>
      <c r="O10" s="76">
        <v>31250.98</v>
      </c>
      <c r="P10"/>
      <c r="Q10"/>
      <c r="R10"/>
      <c r="S10"/>
      <c r="T10"/>
      <c r="U10"/>
      <c r="V10"/>
      <c r="W10"/>
      <c r="X10"/>
      <c r="Y10"/>
    </row>
    <row r="11" ht="15.75" spans="2:25">
      <c r="B11" s="76">
        <v>9</v>
      </c>
      <c r="C11" s="77" t="s">
        <v>209</v>
      </c>
      <c r="D11" s="78">
        <v>0.0403</v>
      </c>
      <c r="E11" s="76">
        <v>8911.83</v>
      </c>
      <c r="G11" s="76">
        <v>9</v>
      </c>
      <c r="H11" s="77" t="s">
        <v>210</v>
      </c>
      <c r="I11" s="78">
        <v>0.0398</v>
      </c>
      <c r="J11" s="76">
        <v>72528.22</v>
      </c>
      <c r="L11" s="76">
        <v>9</v>
      </c>
      <c r="M11" s="77" t="s">
        <v>211</v>
      </c>
      <c r="N11" s="78">
        <v>0.0332</v>
      </c>
      <c r="O11" s="76">
        <v>30858.24</v>
      </c>
      <c r="P11"/>
      <c r="Q11"/>
      <c r="R11"/>
      <c r="S11"/>
      <c r="T11"/>
      <c r="U11"/>
      <c r="V11"/>
      <c r="W11"/>
      <c r="X11"/>
      <c r="Y11"/>
    </row>
    <row r="12" ht="15.75" spans="2:25">
      <c r="B12" s="76">
        <v>10</v>
      </c>
      <c r="C12" s="77" t="s">
        <v>212</v>
      </c>
      <c r="D12" s="78">
        <v>0.037</v>
      </c>
      <c r="E12" s="76">
        <v>8189.45</v>
      </c>
      <c r="G12" s="76">
        <v>10</v>
      </c>
      <c r="H12" s="77" t="s">
        <v>213</v>
      </c>
      <c r="I12" s="78">
        <v>0.0394</v>
      </c>
      <c r="J12" s="76">
        <v>71692.78</v>
      </c>
      <c r="L12" s="76">
        <v>10</v>
      </c>
      <c r="M12" s="77" t="s">
        <v>214</v>
      </c>
      <c r="N12" s="78">
        <v>0.0329</v>
      </c>
      <c r="O12" s="76">
        <v>30561.27</v>
      </c>
      <c r="P12"/>
      <c r="Q12"/>
      <c r="R12"/>
      <c r="S12"/>
      <c r="T12"/>
      <c r="U12"/>
      <c r="V12"/>
      <c r="W12"/>
      <c r="X12"/>
      <c r="Y12"/>
    </row>
    <row r="13" ht="15.75" spans="1:20">
      <c r="A13" s="79">
        <v>213001</v>
      </c>
      <c r="B13" s="76">
        <v>1</v>
      </c>
      <c r="C13" s="77" t="s">
        <v>200</v>
      </c>
      <c r="D13" s="78">
        <v>0.0872</v>
      </c>
      <c r="E13" s="76">
        <v>25876.23</v>
      </c>
      <c r="F13" s="79">
        <v>163415</v>
      </c>
      <c r="G13" s="76">
        <v>1</v>
      </c>
      <c r="H13" s="77" t="s">
        <v>215</v>
      </c>
      <c r="I13" s="78">
        <v>0.0394</v>
      </c>
      <c r="J13" s="76">
        <v>37198.24</v>
      </c>
      <c r="K13"/>
      <c r="L13"/>
      <c r="M13"/>
      <c r="N13"/>
      <c r="O13"/>
      <c r="P13"/>
      <c r="Q13"/>
      <c r="R13"/>
      <c r="S13"/>
      <c r="T13"/>
    </row>
    <row r="14" ht="15.75" spans="2:20">
      <c r="B14" s="76">
        <v>2</v>
      </c>
      <c r="C14" s="77" t="s">
        <v>216</v>
      </c>
      <c r="D14" s="78">
        <v>0.0779</v>
      </c>
      <c r="E14" s="76">
        <v>23135.36</v>
      </c>
      <c r="G14" s="76">
        <v>2</v>
      </c>
      <c r="H14" s="77" t="s">
        <v>217</v>
      </c>
      <c r="I14" s="78">
        <v>0.0381</v>
      </c>
      <c r="J14" s="76">
        <v>35948.81</v>
      </c>
      <c r="K14"/>
      <c r="L14"/>
      <c r="M14"/>
      <c r="N14"/>
      <c r="O14"/>
      <c r="P14"/>
      <c r="Q14"/>
      <c r="R14"/>
      <c r="S14"/>
      <c r="T14"/>
    </row>
    <row r="15" ht="15.75" spans="2:20">
      <c r="B15" s="76">
        <v>3</v>
      </c>
      <c r="C15" s="77" t="s">
        <v>218</v>
      </c>
      <c r="D15" s="78">
        <v>0.0661</v>
      </c>
      <c r="E15" s="76">
        <v>19608.55</v>
      </c>
      <c r="G15" s="76">
        <v>3</v>
      </c>
      <c r="H15" s="77" t="s">
        <v>219</v>
      </c>
      <c r="I15" s="78">
        <v>0.0374</v>
      </c>
      <c r="J15" s="76">
        <v>35311.6</v>
      </c>
      <c r="K15"/>
      <c r="L15"/>
      <c r="M15"/>
      <c r="N15"/>
      <c r="O15"/>
      <c r="P15"/>
      <c r="Q15"/>
      <c r="R15"/>
      <c r="S15"/>
      <c r="T15"/>
    </row>
    <row r="16" ht="15.75" spans="2:20">
      <c r="B16" s="76">
        <v>4</v>
      </c>
      <c r="C16" s="77" t="s">
        <v>220</v>
      </c>
      <c r="D16" s="78">
        <v>0.0616</v>
      </c>
      <c r="E16" s="76">
        <v>18295.18</v>
      </c>
      <c r="G16" s="76">
        <v>4</v>
      </c>
      <c r="H16" s="77" t="s">
        <v>221</v>
      </c>
      <c r="I16" s="78">
        <v>0.0359</v>
      </c>
      <c r="J16" s="76">
        <v>33880.73</v>
      </c>
      <c r="K16"/>
      <c r="L16"/>
      <c r="M16"/>
      <c r="N16"/>
      <c r="O16"/>
      <c r="P16"/>
      <c r="Q16"/>
      <c r="R16"/>
      <c r="S16"/>
      <c r="T16"/>
    </row>
    <row r="17" ht="15.75" spans="2:20">
      <c r="B17" s="76">
        <v>5</v>
      </c>
      <c r="C17" s="77" t="s">
        <v>222</v>
      </c>
      <c r="D17" s="78">
        <v>0.0478</v>
      </c>
      <c r="E17" s="76">
        <v>14186.29</v>
      </c>
      <c r="G17" s="76">
        <v>5</v>
      </c>
      <c r="H17" s="77" t="s">
        <v>223</v>
      </c>
      <c r="I17" s="78">
        <v>0.0349</v>
      </c>
      <c r="J17" s="76">
        <v>32937.56</v>
      </c>
      <c r="K17"/>
      <c r="L17"/>
      <c r="M17"/>
      <c r="N17"/>
      <c r="O17"/>
      <c r="P17"/>
      <c r="Q17"/>
      <c r="R17"/>
      <c r="S17"/>
      <c r="T17"/>
    </row>
    <row r="18" ht="15.75" spans="2:20">
      <c r="B18" s="76">
        <v>6</v>
      </c>
      <c r="C18" s="77" t="s">
        <v>224</v>
      </c>
      <c r="D18" s="78">
        <v>0.0441</v>
      </c>
      <c r="E18" s="76">
        <v>13094.4</v>
      </c>
      <c r="G18" s="76">
        <v>6</v>
      </c>
      <c r="H18" s="77" t="s">
        <v>225</v>
      </c>
      <c r="I18" s="78">
        <v>0.0349</v>
      </c>
      <c r="J18" s="76">
        <v>32929.03</v>
      </c>
      <c r="K18"/>
      <c r="L18"/>
      <c r="M18"/>
      <c r="N18"/>
      <c r="O18"/>
      <c r="P18"/>
      <c r="Q18"/>
      <c r="R18"/>
      <c r="S18"/>
      <c r="T18"/>
    </row>
    <row r="19" ht="15.75" spans="2:20">
      <c r="B19" s="76">
        <v>7</v>
      </c>
      <c r="C19" s="77" t="s">
        <v>226</v>
      </c>
      <c r="D19" s="78">
        <v>0.0436</v>
      </c>
      <c r="E19" s="76">
        <v>12952.06</v>
      </c>
      <c r="G19" s="76">
        <v>7</v>
      </c>
      <c r="H19" s="77" t="s">
        <v>227</v>
      </c>
      <c r="I19" s="78">
        <v>0.0331</v>
      </c>
      <c r="J19" s="76">
        <v>31258.61</v>
      </c>
      <c r="K19"/>
      <c r="L19"/>
      <c r="M19"/>
      <c r="N19"/>
      <c r="O19"/>
      <c r="P19"/>
      <c r="Q19"/>
      <c r="R19"/>
      <c r="S19"/>
      <c r="T19"/>
    </row>
    <row r="20" ht="15.75" spans="2:20">
      <c r="B20" s="76">
        <v>8</v>
      </c>
      <c r="C20" s="77" t="s">
        <v>228</v>
      </c>
      <c r="D20" s="78">
        <v>0.0418</v>
      </c>
      <c r="E20" s="76">
        <v>12417.04</v>
      </c>
      <c r="G20" s="76">
        <v>8</v>
      </c>
      <c r="H20" s="77" t="s">
        <v>229</v>
      </c>
      <c r="I20" s="78">
        <v>0.0317</v>
      </c>
      <c r="J20" s="76">
        <v>29919.09</v>
      </c>
      <c r="K20"/>
      <c r="L20"/>
      <c r="M20"/>
      <c r="N20"/>
      <c r="O20"/>
      <c r="P20"/>
      <c r="Q20"/>
      <c r="R20"/>
      <c r="S20"/>
      <c r="T20"/>
    </row>
    <row r="21" ht="15.75" spans="2:20">
      <c r="B21" s="76">
        <v>9</v>
      </c>
      <c r="C21" s="77" t="s">
        <v>230</v>
      </c>
      <c r="D21" s="78">
        <v>0.0375</v>
      </c>
      <c r="E21" s="76">
        <v>11137.83</v>
      </c>
      <c r="G21" s="76">
        <v>9</v>
      </c>
      <c r="H21" s="77" t="s">
        <v>231</v>
      </c>
      <c r="I21" s="78">
        <v>0.0271</v>
      </c>
      <c r="J21" s="76">
        <v>25586.64</v>
      </c>
      <c r="K21"/>
      <c r="L21"/>
      <c r="M21"/>
      <c r="N21"/>
      <c r="O21"/>
      <c r="P21"/>
      <c r="Q21"/>
      <c r="R21"/>
      <c r="S21"/>
      <c r="T21"/>
    </row>
    <row r="22" ht="15.75" spans="2:20">
      <c r="B22" s="76">
        <v>10</v>
      </c>
      <c r="C22" s="77" t="s">
        <v>232</v>
      </c>
      <c r="D22" s="78">
        <v>0.0362</v>
      </c>
      <c r="E22" s="76">
        <v>10754.45</v>
      </c>
      <c r="G22" s="76">
        <v>10</v>
      </c>
      <c r="H22" s="77" t="s">
        <v>202</v>
      </c>
      <c r="I22" s="78">
        <v>0.0261</v>
      </c>
      <c r="J22" s="76">
        <v>24638.5</v>
      </c>
      <c r="K22"/>
      <c r="L22"/>
      <c r="M22"/>
      <c r="N22"/>
      <c r="O22"/>
      <c r="P22"/>
      <c r="Q22"/>
      <c r="R22"/>
      <c r="S22"/>
      <c r="T22"/>
    </row>
    <row r="23" ht="15.75" spans="1:25">
      <c r="A23" s="79">
        <v>519772</v>
      </c>
      <c r="B23" s="76">
        <v>1</v>
      </c>
      <c r="C23" s="77" t="s">
        <v>217</v>
      </c>
      <c r="D23" s="78">
        <v>0.0802</v>
      </c>
      <c r="E23" s="76">
        <v>88899.9</v>
      </c>
      <c r="F23" s="101" t="s">
        <v>135</v>
      </c>
      <c r="G23" s="76">
        <v>1</v>
      </c>
      <c r="H23" s="77" t="s">
        <v>233</v>
      </c>
      <c r="I23" s="78">
        <v>0.0746</v>
      </c>
      <c r="J23" s="76">
        <v>19035.85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ht="15.75" spans="2:25">
      <c r="B24" s="76">
        <v>2</v>
      </c>
      <c r="C24" s="77" t="s">
        <v>234</v>
      </c>
      <c r="D24" s="78">
        <v>0.0656</v>
      </c>
      <c r="E24" s="76">
        <v>72708.02</v>
      </c>
      <c r="G24" s="76">
        <v>2</v>
      </c>
      <c r="H24" s="77" t="s">
        <v>235</v>
      </c>
      <c r="I24" s="78">
        <v>0.0693</v>
      </c>
      <c r="J24" s="76">
        <v>17693.99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ht="15.75" spans="2:25">
      <c r="B25" s="76">
        <v>3</v>
      </c>
      <c r="C25" s="77" t="s">
        <v>236</v>
      </c>
      <c r="D25" s="78">
        <v>0.0606</v>
      </c>
      <c r="E25" s="76">
        <v>67158.79</v>
      </c>
      <c r="G25" s="76">
        <v>3</v>
      </c>
      <c r="H25" s="77" t="s">
        <v>193</v>
      </c>
      <c r="I25" s="78">
        <v>0.069</v>
      </c>
      <c r="J25" s="76">
        <v>17625.36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ht="15.75" spans="2:25">
      <c r="B26" s="76">
        <v>4</v>
      </c>
      <c r="C26" s="77" t="s">
        <v>237</v>
      </c>
      <c r="D26" s="78">
        <v>0.055</v>
      </c>
      <c r="E26" s="76">
        <v>61026.01</v>
      </c>
      <c r="G26" s="76">
        <v>4</v>
      </c>
      <c r="H26" s="77" t="s">
        <v>186</v>
      </c>
      <c r="I26" s="78">
        <v>0.0653</v>
      </c>
      <c r="J26" s="76">
        <v>16662.2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ht="15.75" spans="2:25">
      <c r="B27" s="76">
        <v>5</v>
      </c>
      <c r="C27" s="77" t="s">
        <v>238</v>
      </c>
      <c r="D27" s="78">
        <v>0.0496</v>
      </c>
      <c r="E27" s="76">
        <v>54998.7</v>
      </c>
      <c r="G27" s="76">
        <v>5</v>
      </c>
      <c r="H27" s="77" t="s">
        <v>201</v>
      </c>
      <c r="I27" s="78">
        <v>0.0617</v>
      </c>
      <c r="J27" s="76">
        <v>15758.56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ht="15.75" spans="2:25">
      <c r="B28" s="76">
        <v>6</v>
      </c>
      <c r="C28" s="77" t="s">
        <v>239</v>
      </c>
      <c r="D28" s="78">
        <v>0.0469</v>
      </c>
      <c r="E28" s="76">
        <v>51978.51</v>
      </c>
      <c r="G28" s="76">
        <v>6</v>
      </c>
      <c r="H28" s="77" t="s">
        <v>240</v>
      </c>
      <c r="I28" s="78">
        <v>0.0571</v>
      </c>
      <c r="J28" s="76">
        <v>14566.83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ht="15.75" spans="2:25">
      <c r="B29" s="76">
        <v>7</v>
      </c>
      <c r="C29" s="77" t="s">
        <v>241</v>
      </c>
      <c r="D29" s="78">
        <v>0.0458</v>
      </c>
      <c r="E29" s="76">
        <v>50768.59</v>
      </c>
      <c r="G29" s="76">
        <v>7</v>
      </c>
      <c r="H29" s="77" t="s">
        <v>190</v>
      </c>
      <c r="I29" s="78">
        <v>0.049</v>
      </c>
      <c r="J29" s="76">
        <v>12501.86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ht="15.75" spans="2:25">
      <c r="B30" s="76">
        <v>8</v>
      </c>
      <c r="C30" s="77" t="s">
        <v>242</v>
      </c>
      <c r="D30" s="78">
        <v>0.0431</v>
      </c>
      <c r="E30" s="76">
        <v>47840.39</v>
      </c>
      <c r="G30" s="76">
        <v>8</v>
      </c>
      <c r="H30" s="77" t="s">
        <v>243</v>
      </c>
      <c r="I30" s="78">
        <v>0.0485</v>
      </c>
      <c r="J30" s="76">
        <v>12386.09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ht="15.75" spans="2:25">
      <c r="B31" s="76">
        <v>9</v>
      </c>
      <c r="C31" s="77" t="s">
        <v>244</v>
      </c>
      <c r="D31" s="78">
        <v>0.0413</v>
      </c>
      <c r="E31" s="76">
        <v>45823.66</v>
      </c>
      <c r="G31" s="76">
        <v>9</v>
      </c>
      <c r="H31" s="77" t="s">
        <v>245</v>
      </c>
      <c r="I31" s="78">
        <v>0.0464</v>
      </c>
      <c r="J31" s="76">
        <v>11836.39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ht="15.75" spans="2:25">
      <c r="B32" s="76">
        <v>10</v>
      </c>
      <c r="C32" s="77" t="s">
        <v>246</v>
      </c>
      <c r="D32" s="78">
        <v>0.0399</v>
      </c>
      <c r="E32" s="76">
        <v>44283.33</v>
      </c>
      <c r="G32" s="76">
        <v>10</v>
      </c>
      <c r="H32" s="77" t="s">
        <v>207</v>
      </c>
      <c r="I32" s="78">
        <v>0.0458</v>
      </c>
      <c r="J32" s="76">
        <v>11683.23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selection activeCell="H28" sqref="H28"/>
    </sheetView>
  </sheetViews>
  <sheetFormatPr defaultColWidth="9" defaultRowHeight="13.5"/>
  <sheetData>
    <row r="1" ht="15.75" spans="1:20">
      <c r="A1" s="75">
        <v>202023</v>
      </c>
      <c r="B1" s="76">
        <v>1</v>
      </c>
      <c r="C1" s="77" t="s">
        <v>186</v>
      </c>
      <c r="D1" s="78">
        <v>0.0589</v>
      </c>
      <c r="E1" s="76">
        <v>13864.01</v>
      </c>
      <c r="F1" s="75">
        <v>163402</v>
      </c>
      <c r="G1" s="76">
        <v>1</v>
      </c>
      <c r="H1" s="77" t="s">
        <v>247</v>
      </c>
      <c r="I1" s="78">
        <v>0.0935</v>
      </c>
      <c r="J1" s="76">
        <v>205632.37</v>
      </c>
      <c r="K1" s="75" t="s">
        <v>167</v>
      </c>
      <c r="L1" s="76">
        <v>1</v>
      </c>
      <c r="M1" s="77" t="s">
        <v>241</v>
      </c>
      <c r="N1" s="78">
        <v>0.0448</v>
      </c>
      <c r="O1" s="76">
        <v>20451.56</v>
      </c>
      <c r="P1" s="75">
        <v>180012</v>
      </c>
      <c r="Q1" s="76">
        <v>1</v>
      </c>
      <c r="R1" s="77" t="s">
        <v>248</v>
      </c>
      <c r="S1" s="78">
        <v>0.0923</v>
      </c>
      <c r="T1" s="76">
        <v>106422.5</v>
      </c>
    </row>
    <row r="2" ht="15.75" spans="1:20">
      <c r="A2" s="75"/>
      <c r="B2" s="76">
        <v>2</v>
      </c>
      <c r="C2" s="77" t="s">
        <v>200</v>
      </c>
      <c r="D2" s="78">
        <v>0.037</v>
      </c>
      <c r="E2" s="76">
        <v>8707.83</v>
      </c>
      <c r="F2" s="75"/>
      <c r="G2" s="76">
        <v>2</v>
      </c>
      <c r="H2" s="77" t="s">
        <v>231</v>
      </c>
      <c r="I2" s="78">
        <v>0.0713</v>
      </c>
      <c r="J2" s="76">
        <v>156882.85</v>
      </c>
      <c r="K2" s="75"/>
      <c r="L2" s="76">
        <v>2</v>
      </c>
      <c r="M2" s="77" t="s">
        <v>217</v>
      </c>
      <c r="N2" s="78">
        <v>0.0446</v>
      </c>
      <c r="O2" s="76">
        <v>20365.06</v>
      </c>
      <c r="P2" s="75"/>
      <c r="Q2" s="76">
        <v>2</v>
      </c>
      <c r="R2" s="77" t="s">
        <v>186</v>
      </c>
      <c r="S2" s="78">
        <v>0.0788</v>
      </c>
      <c r="T2" s="76">
        <v>90895.76</v>
      </c>
    </row>
    <row r="3" ht="15.75" spans="1:20">
      <c r="A3" s="75"/>
      <c r="B3" s="76">
        <v>3</v>
      </c>
      <c r="C3" s="77" t="s">
        <v>249</v>
      </c>
      <c r="D3" s="78">
        <v>0.0367</v>
      </c>
      <c r="E3" s="76">
        <v>8629.63</v>
      </c>
      <c r="F3" s="75"/>
      <c r="G3" s="76">
        <v>3</v>
      </c>
      <c r="H3" s="77" t="s">
        <v>221</v>
      </c>
      <c r="I3" s="78">
        <v>0.0658</v>
      </c>
      <c r="J3" s="76">
        <v>144662.82</v>
      </c>
      <c r="K3" s="75"/>
      <c r="L3" s="76">
        <v>3</v>
      </c>
      <c r="M3" s="77" t="s">
        <v>250</v>
      </c>
      <c r="N3" s="78">
        <v>0.0438</v>
      </c>
      <c r="O3" s="76">
        <v>19987.72</v>
      </c>
      <c r="P3" s="75"/>
      <c r="Q3" s="76">
        <v>3</v>
      </c>
      <c r="R3" s="77" t="s">
        <v>193</v>
      </c>
      <c r="S3" s="78">
        <v>0.0775</v>
      </c>
      <c r="T3" s="76">
        <v>89438.25</v>
      </c>
    </row>
    <row r="4" ht="15.75" spans="1:20">
      <c r="A4" s="75"/>
      <c r="B4" s="76">
        <v>4</v>
      </c>
      <c r="C4" s="77" t="s">
        <v>217</v>
      </c>
      <c r="D4" s="78">
        <v>0.0341</v>
      </c>
      <c r="E4" s="76">
        <v>8038.46</v>
      </c>
      <c r="F4" s="75"/>
      <c r="G4" s="76">
        <v>4</v>
      </c>
      <c r="H4" s="77" t="s">
        <v>251</v>
      </c>
      <c r="I4" s="78">
        <v>0.061</v>
      </c>
      <c r="J4" s="76">
        <v>134244.8</v>
      </c>
      <c r="K4" s="75"/>
      <c r="L4" s="76">
        <v>4</v>
      </c>
      <c r="M4" s="77" t="s">
        <v>186</v>
      </c>
      <c r="N4" s="78">
        <v>0.0435</v>
      </c>
      <c r="O4" s="76">
        <v>19864.74</v>
      </c>
      <c r="P4" s="75"/>
      <c r="Q4" s="76">
        <v>4</v>
      </c>
      <c r="R4" s="77" t="s">
        <v>252</v>
      </c>
      <c r="S4" s="78">
        <v>0.077</v>
      </c>
      <c r="T4" s="76">
        <v>88859.5</v>
      </c>
    </row>
    <row r="5" ht="15.75" spans="1:20">
      <c r="A5" s="75"/>
      <c r="B5" s="76">
        <v>5</v>
      </c>
      <c r="C5" s="77" t="s">
        <v>235</v>
      </c>
      <c r="D5" s="78">
        <v>0.0341</v>
      </c>
      <c r="E5" s="76">
        <v>8027.06</v>
      </c>
      <c r="F5" s="75"/>
      <c r="G5" s="76">
        <v>5</v>
      </c>
      <c r="H5" s="77" t="s">
        <v>214</v>
      </c>
      <c r="I5" s="78">
        <v>0.0571</v>
      </c>
      <c r="J5" s="76">
        <v>125478.99</v>
      </c>
      <c r="K5" s="75"/>
      <c r="L5" s="76">
        <v>5</v>
      </c>
      <c r="M5" s="77" t="s">
        <v>230</v>
      </c>
      <c r="N5" s="78">
        <v>0.0417</v>
      </c>
      <c r="O5" s="76">
        <v>19021.05</v>
      </c>
      <c r="P5" s="75"/>
      <c r="Q5" s="76">
        <v>5</v>
      </c>
      <c r="R5" s="77" t="s">
        <v>235</v>
      </c>
      <c r="S5" s="78">
        <v>0.0743</v>
      </c>
      <c r="T5" s="76">
        <v>85684.62</v>
      </c>
    </row>
    <row r="6" ht="15.75" spans="1:20">
      <c r="A6" s="75"/>
      <c r="B6" s="76">
        <v>6</v>
      </c>
      <c r="C6" s="77" t="s">
        <v>242</v>
      </c>
      <c r="D6" s="78">
        <v>0.0297</v>
      </c>
      <c r="E6" s="76">
        <v>7002.56</v>
      </c>
      <c r="F6" s="75"/>
      <c r="G6" s="76">
        <v>6</v>
      </c>
      <c r="H6" s="77" t="s">
        <v>234</v>
      </c>
      <c r="I6" s="78">
        <v>0.0557</v>
      </c>
      <c r="J6" s="76">
        <v>122478.56</v>
      </c>
      <c r="K6" s="75"/>
      <c r="L6" s="76">
        <v>6</v>
      </c>
      <c r="M6" s="77" t="s">
        <v>196</v>
      </c>
      <c r="N6" s="78">
        <v>0.0408</v>
      </c>
      <c r="O6" s="76">
        <v>18636.42</v>
      </c>
      <c r="P6" s="75"/>
      <c r="Q6" s="76">
        <v>6</v>
      </c>
      <c r="R6" s="77" t="s">
        <v>253</v>
      </c>
      <c r="S6" s="78">
        <v>0.0632</v>
      </c>
      <c r="T6" s="76">
        <v>72848.5</v>
      </c>
    </row>
    <row r="7" ht="15.75" spans="1:20">
      <c r="A7" s="75"/>
      <c r="B7" s="76">
        <v>7</v>
      </c>
      <c r="C7" s="77" t="s">
        <v>193</v>
      </c>
      <c r="D7" s="78">
        <v>0.0244</v>
      </c>
      <c r="E7" s="76">
        <v>5751.34</v>
      </c>
      <c r="F7" s="75"/>
      <c r="G7" s="76">
        <v>7</v>
      </c>
      <c r="H7" s="77" t="s">
        <v>249</v>
      </c>
      <c r="I7" s="78">
        <v>0.0473</v>
      </c>
      <c r="J7" s="76">
        <v>103980.03</v>
      </c>
      <c r="K7" s="75"/>
      <c r="L7" s="76">
        <v>7</v>
      </c>
      <c r="M7" s="77" t="s">
        <v>193</v>
      </c>
      <c r="N7" s="78">
        <v>0.0303</v>
      </c>
      <c r="O7" s="76">
        <v>13820.46</v>
      </c>
      <c r="P7" s="75"/>
      <c r="Q7" s="76">
        <v>7</v>
      </c>
      <c r="R7" s="77" t="s">
        <v>209</v>
      </c>
      <c r="S7" s="78">
        <v>0.0486</v>
      </c>
      <c r="T7" s="76">
        <v>56051.24</v>
      </c>
    </row>
    <row r="8" ht="15.75" spans="1:20">
      <c r="A8" s="75"/>
      <c r="B8" s="76">
        <v>8</v>
      </c>
      <c r="C8" s="77" t="s">
        <v>220</v>
      </c>
      <c r="D8" s="78">
        <v>0.0233</v>
      </c>
      <c r="E8" s="76">
        <v>5477.27</v>
      </c>
      <c r="F8" s="75"/>
      <c r="G8" s="76">
        <v>8</v>
      </c>
      <c r="H8" s="77" t="s">
        <v>254</v>
      </c>
      <c r="I8" s="78">
        <v>0.0426</v>
      </c>
      <c r="J8" s="76">
        <v>93671.57</v>
      </c>
      <c r="K8" s="75"/>
      <c r="L8" s="76">
        <v>8</v>
      </c>
      <c r="M8" s="77" t="s">
        <v>255</v>
      </c>
      <c r="N8" s="78">
        <v>0.0212</v>
      </c>
      <c r="O8" s="76">
        <v>9684.9</v>
      </c>
      <c r="P8" s="75"/>
      <c r="Q8" s="76">
        <v>8</v>
      </c>
      <c r="R8" s="77" t="s">
        <v>191</v>
      </c>
      <c r="S8" s="78">
        <v>0.0484</v>
      </c>
      <c r="T8" s="76">
        <v>55866.42</v>
      </c>
    </row>
    <row r="9" ht="15.75" spans="1:20">
      <c r="A9" s="75"/>
      <c r="B9" s="76">
        <v>9</v>
      </c>
      <c r="C9" s="77" t="s">
        <v>256</v>
      </c>
      <c r="D9" s="78">
        <v>0.0224</v>
      </c>
      <c r="E9" s="76">
        <v>5277.17</v>
      </c>
      <c r="F9" s="75"/>
      <c r="G9" s="76">
        <v>9</v>
      </c>
      <c r="H9" s="77" t="s">
        <v>257</v>
      </c>
      <c r="I9" s="78">
        <v>0.0341</v>
      </c>
      <c r="J9" s="76">
        <v>74921.78</v>
      </c>
      <c r="K9" s="75"/>
      <c r="L9" s="76">
        <v>9</v>
      </c>
      <c r="M9" s="77" t="s">
        <v>258</v>
      </c>
      <c r="N9" s="78">
        <v>0.0205</v>
      </c>
      <c r="O9" s="76">
        <v>9345.41</v>
      </c>
      <c r="P9" s="75"/>
      <c r="Q9" s="76">
        <v>9</v>
      </c>
      <c r="R9" s="77" t="s">
        <v>259</v>
      </c>
      <c r="S9" s="78">
        <v>0.0392</v>
      </c>
      <c r="T9" s="76">
        <v>45182.28</v>
      </c>
    </row>
    <row r="10" ht="15.75" spans="1:20">
      <c r="A10" s="75"/>
      <c r="B10" s="76">
        <v>10</v>
      </c>
      <c r="C10" s="77" t="s">
        <v>260</v>
      </c>
      <c r="D10" s="78">
        <v>0.0208</v>
      </c>
      <c r="E10" s="76">
        <v>4907.04</v>
      </c>
      <c r="F10" s="75"/>
      <c r="G10" s="76">
        <v>10</v>
      </c>
      <c r="H10" s="77" t="s">
        <v>261</v>
      </c>
      <c r="I10" s="78">
        <v>0.0337</v>
      </c>
      <c r="J10" s="76">
        <v>74132.34</v>
      </c>
      <c r="K10" s="75"/>
      <c r="L10" s="76">
        <v>10</v>
      </c>
      <c r="M10" s="77" t="s">
        <v>225</v>
      </c>
      <c r="N10" s="78">
        <v>0.0205</v>
      </c>
      <c r="O10" s="76">
        <v>9343.93</v>
      </c>
      <c r="P10" s="75"/>
      <c r="Q10" s="76">
        <v>10</v>
      </c>
      <c r="R10" s="77" t="s">
        <v>232</v>
      </c>
      <c r="S10" s="78">
        <v>0.0379</v>
      </c>
      <c r="T10" s="76">
        <v>43733.19</v>
      </c>
    </row>
    <row r="11" ht="15.75" spans="1:20">
      <c r="A11" s="75">
        <v>270002</v>
      </c>
      <c r="B11" s="76">
        <v>1</v>
      </c>
      <c r="C11" s="77" t="s">
        <v>205</v>
      </c>
      <c r="D11" s="78">
        <v>0.0493</v>
      </c>
      <c r="E11" s="76">
        <v>106995</v>
      </c>
      <c r="F11" s="75">
        <v>110011</v>
      </c>
      <c r="G11" s="76">
        <v>1</v>
      </c>
      <c r="H11" s="77" t="s">
        <v>198</v>
      </c>
      <c r="I11" s="78">
        <v>0.0951</v>
      </c>
      <c r="J11" s="76">
        <v>182144.67</v>
      </c>
      <c r="K11" s="75" t="s">
        <v>121</v>
      </c>
      <c r="L11" s="76">
        <v>1</v>
      </c>
      <c r="M11" s="77" t="s">
        <v>262</v>
      </c>
      <c r="N11" s="78">
        <v>0.0578</v>
      </c>
      <c r="O11" s="76">
        <v>26336.72</v>
      </c>
      <c r="P11" s="75">
        <v>166001</v>
      </c>
      <c r="Q11" s="76">
        <v>1</v>
      </c>
      <c r="R11" s="77" t="s">
        <v>208</v>
      </c>
      <c r="S11" s="78">
        <v>0.0718</v>
      </c>
      <c r="T11" s="76">
        <v>43047.61</v>
      </c>
    </row>
    <row r="12" ht="15.75" spans="1:20">
      <c r="A12" s="75"/>
      <c r="B12" s="76">
        <v>2</v>
      </c>
      <c r="C12" s="77" t="s">
        <v>263</v>
      </c>
      <c r="D12" s="78">
        <v>0.0416</v>
      </c>
      <c r="E12" s="76">
        <v>90336.4</v>
      </c>
      <c r="F12" s="75"/>
      <c r="G12" s="76">
        <v>2</v>
      </c>
      <c r="H12" s="77" t="s">
        <v>186</v>
      </c>
      <c r="I12" s="78">
        <v>0.0924</v>
      </c>
      <c r="J12" s="76">
        <v>177008.48</v>
      </c>
      <c r="K12" s="75"/>
      <c r="L12" s="76">
        <v>2</v>
      </c>
      <c r="M12" s="77" t="s">
        <v>264</v>
      </c>
      <c r="N12" s="78">
        <v>0.0534</v>
      </c>
      <c r="O12" s="76">
        <v>24347.93</v>
      </c>
      <c r="P12" s="75"/>
      <c r="Q12" s="76">
        <v>2</v>
      </c>
      <c r="R12" s="77" t="s">
        <v>186</v>
      </c>
      <c r="S12" s="78">
        <v>0.0526</v>
      </c>
      <c r="T12" s="76">
        <v>31493.47</v>
      </c>
    </row>
    <row r="13" ht="15.75" spans="1:20">
      <c r="A13" s="75"/>
      <c r="B13" s="76">
        <v>3</v>
      </c>
      <c r="C13" s="77" t="s">
        <v>211</v>
      </c>
      <c r="D13" s="78">
        <v>0.0275</v>
      </c>
      <c r="E13" s="76">
        <v>59760</v>
      </c>
      <c r="F13" s="75"/>
      <c r="G13" s="76">
        <v>3</v>
      </c>
      <c r="H13" s="77" t="s">
        <v>193</v>
      </c>
      <c r="I13" s="78">
        <v>0.092</v>
      </c>
      <c r="J13" s="76">
        <v>176253.6</v>
      </c>
      <c r="K13" s="75"/>
      <c r="L13" s="76">
        <v>3</v>
      </c>
      <c r="M13" s="77" t="s">
        <v>265</v>
      </c>
      <c r="N13" s="78">
        <v>0.0371</v>
      </c>
      <c r="O13" s="76">
        <v>16913.83</v>
      </c>
      <c r="P13" s="75"/>
      <c r="Q13" s="76">
        <v>3</v>
      </c>
      <c r="R13" s="77" t="s">
        <v>231</v>
      </c>
      <c r="S13" s="78">
        <v>0.051</v>
      </c>
      <c r="T13" s="76">
        <v>30566.72</v>
      </c>
    </row>
    <row r="14" ht="15.75" spans="1:20">
      <c r="A14" s="75"/>
      <c r="B14" s="76">
        <v>4</v>
      </c>
      <c r="C14" s="77" t="s">
        <v>266</v>
      </c>
      <c r="D14" s="78">
        <v>0.0259</v>
      </c>
      <c r="E14" s="76">
        <v>56214.6</v>
      </c>
      <c r="F14" s="75"/>
      <c r="G14" s="76">
        <v>4</v>
      </c>
      <c r="H14" s="77" t="s">
        <v>213</v>
      </c>
      <c r="I14" s="78">
        <v>0.0839</v>
      </c>
      <c r="J14" s="76">
        <v>160765</v>
      </c>
      <c r="K14" s="75"/>
      <c r="L14" s="76">
        <v>4</v>
      </c>
      <c r="M14" s="77" t="s">
        <v>230</v>
      </c>
      <c r="N14" s="78">
        <v>0.0341</v>
      </c>
      <c r="O14" s="76">
        <v>15567.26</v>
      </c>
      <c r="P14" s="75"/>
      <c r="Q14" s="76">
        <v>4</v>
      </c>
      <c r="R14" s="77" t="s">
        <v>230</v>
      </c>
      <c r="S14" s="78">
        <v>0.0465</v>
      </c>
      <c r="T14" s="76">
        <v>27873.32</v>
      </c>
    </row>
    <row r="15" ht="15.75" spans="1:20">
      <c r="A15" s="75"/>
      <c r="B15" s="76">
        <v>5</v>
      </c>
      <c r="C15" s="77" t="s">
        <v>267</v>
      </c>
      <c r="D15" s="78">
        <v>0.0253</v>
      </c>
      <c r="E15" s="76">
        <v>54930</v>
      </c>
      <c r="F15" s="75"/>
      <c r="G15" s="76">
        <v>5</v>
      </c>
      <c r="H15" s="77" t="s">
        <v>210</v>
      </c>
      <c r="I15" s="78">
        <v>0.0686</v>
      </c>
      <c r="J15" s="76">
        <v>131457</v>
      </c>
      <c r="K15" s="75"/>
      <c r="L15" s="76">
        <v>5</v>
      </c>
      <c r="M15" s="77" t="s">
        <v>252</v>
      </c>
      <c r="N15" s="78">
        <v>0.0288</v>
      </c>
      <c r="O15" s="76">
        <v>13114.45</v>
      </c>
      <c r="P15" s="75"/>
      <c r="Q15" s="76">
        <v>5</v>
      </c>
      <c r="R15" s="77" t="s">
        <v>193</v>
      </c>
      <c r="S15" s="78">
        <v>0.046</v>
      </c>
      <c r="T15" s="76">
        <v>27581.48</v>
      </c>
    </row>
    <row r="16" ht="15.75" spans="1:20">
      <c r="A16" s="75"/>
      <c r="B16" s="76">
        <v>6</v>
      </c>
      <c r="C16" s="77" t="s">
        <v>268</v>
      </c>
      <c r="D16" s="78">
        <v>0.0252</v>
      </c>
      <c r="E16" s="76">
        <v>54750</v>
      </c>
      <c r="F16" s="75"/>
      <c r="G16" s="76">
        <v>6</v>
      </c>
      <c r="H16" s="77" t="s">
        <v>269</v>
      </c>
      <c r="I16" s="78">
        <v>0.0617</v>
      </c>
      <c r="J16" s="76">
        <v>118150</v>
      </c>
      <c r="K16" s="75"/>
      <c r="L16" s="76">
        <v>6</v>
      </c>
      <c r="M16" s="77" t="s">
        <v>217</v>
      </c>
      <c r="N16" s="78">
        <v>0.0277</v>
      </c>
      <c r="O16" s="76">
        <v>12639.76</v>
      </c>
      <c r="P16" s="75"/>
      <c r="Q16" s="76">
        <v>6</v>
      </c>
      <c r="R16" s="77" t="s">
        <v>219</v>
      </c>
      <c r="S16" s="78">
        <v>0.0384</v>
      </c>
      <c r="T16" s="76">
        <v>22983.05</v>
      </c>
    </row>
    <row r="17" ht="15.75" spans="1:20">
      <c r="A17" s="75"/>
      <c r="B17" s="76">
        <v>7</v>
      </c>
      <c r="C17" s="77" t="s">
        <v>270</v>
      </c>
      <c r="D17" s="78">
        <v>0.0244</v>
      </c>
      <c r="E17" s="76">
        <v>53106.2</v>
      </c>
      <c r="F17" s="75"/>
      <c r="G17" s="76">
        <v>7</v>
      </c>
      <c r="H17" s="77" t="s">
        <v>191</v>
      </c>
      <c r="I17" s="78">
        <v>0.0601</v>
      </c>
      <c r="J17" s="76">
        <v>115071.53</v>
      </c>
      <c r="K17" s="75"/>
      <c r="L17" s="76">
        <v>7</v>
      </c>
      <c r="M17" s="77" t="s">
        <v>271</v>
      </c>
      <c r="N17" s="78">
        <v>0.0264</v>
      </c>
      <c r="O17" s="76">
        <v>12047.63</v>
      </c>
      <c r="P17" s="75"/>
      <c r="Q17" s="76">
        <v>7</v>
      </c>
      <c r="R17" s="77" t="s">
        <v>272</v>
      </c>
      <c r="S17" s="78">
        <v>0.0381</v>
      </c>
      <c r="T17" s="76">
        <v>22804.43</v>
      </c>
    </row>
    <row r="18" ht="15.75" spans="1:20">
      <c r="A18" s="75"/>
      <c r="B18" s="76">
        <v>8</v>
      </c>
      <c r="C18" s="77" t="s">
        <v>206</v>
      </c>
      <c r="D18" s="78">
        <v>0.0209</v>
      </c>
      <c r="E18" s="76">
        <v>45500</v>
      </c>
      <c r="F18" s="75"/>
      <c r="G18" s="76">
        <v>8</v>
      </c>
      <c r="H18" s="77" t="s">
        <v>266</v>
      </c>
      <c r="I18" s="78">
        <v>0.0595</v>
      </c>
      <c r="J18" s="76">
        <v>113870.96</v>
      </c>
      <c r="K18" s="75"/>
      <c r="L18" s="76">
        <v>8</v>
      </c>
      <c r="M18" s="77" t="s">
        <v>273</v>
      </c>
      <c r="N18" s="78">
        <v>0.0252</v>
      </c>
      <c r="O18" s="76">
        <v>11496.14</v>
      </c>
      <c r="P18" s="75"/>
      <c r="Q18" s="76">
        <v>8</v>
      </c>
      <c r="R18" s="77" t="s">
        <v>274</v>
      </c>
      <c r="S18" s="78">
        <v>0.0365</v>
      </c>
      <c r="T18" s="76">
        <v>21874.61</v>
      </c>
    </row>
    <row r="19" ht="15.75" spans="1:20">
      <c r="A19" s="75"/>
      <c r="B19" s="76">
        <v>9</v>
      </c>
      <c r="C19" s="77" t="s">
        <v>196</v>
      </c>
      <c r="D19" s="78">
        <v>0.0191</v>
      </c>
      <c r="E19" s="76">
        <v>41496</v>
      </c>
      <c r="F19" s="75"/>
      <c r="G19" s="76">
        <v>9</v>
      </c>
      <c r="H19" s="77" t="s">
        <v>275</v>
      </c>
      <c r="I19" s="78">
        <v>0.0585</v>
      </c>
      <c r="J19" s="76">
        <v>112101.1</v>
      </c>
      <c r="K19" s="75"/>
      <c r="L19" s="76">
        <v>9</v>
      </c>
      <c r="M19" s="77" t="s">
        <v>276</v>
      </c>
      <c r="N19" s="78">
        <v>0.0247</v>
      </c>
      <c r="O19" s="76">
        <v>11247.64</v>
      </c>
      <c r="P19" s="75"/>
      <c r="Q19" s="76">
        <v>9</v>
      </c>
      <c r="R19" s="77" t="s">
        <v>277</v>
      </c>
      <c r="S19" s="78">
        <v>0.0365</v>
      </c>
      <c r="T19" s="76">
        <v>21857.18</v>
      </c>
    </row>
    <row r="20" ht="15.75" spans="1:20">
      <c r="A20" s="75"/>
      <c r="B20" s="76">
        <v>10</v>
      </c>
      <c r="C20" s="77" t="s">
        <v>249</v>
      </c>
      <c r="D20" s="78">
        <v>0.0171</v>
      </c>
      <c r="E20" s="76">
        <v>37144.8</v>
      </c>
      <c r="F20" s="75"/>
      <c r="G20" s="76">
        <v>10</v>
      </c>
      <c r="H20" s="77" t="s">
        <v>278</v>
      </c>
      <c r="I20" s="78">
        <v>0.058</v>
      </c>
      <c r="J20" s="76">
        <v>111020</v>
      </c>
      <c r="K20" s="75"/>
      <c r="L20" s="76">
        <v>10</v>
      </c>
      <c r="M20" s="77" t="s">
        <v>208</v>
      </c>
      <c r="N20" s="78">
        <v>0.0226</v>
      </c>
      <c r="O20" s="76">
        <v>10306.6</v>
      </c>
      <c r="P20" s="75"/>
      <c r="Q20" s="76">
        <v>10</v>
      </c>
      <c r="R20" s="77" t="s">
        <v>279</v>
      </c>
      <c r="S20" s="78">
        <v>0.0359</v>
      </c>
      <c r="T20" s="76">
        <v>21532.52</v>
      </c>
    </row>
    <row r="21" ht="15.75" spans="1:5">
      <c r="A21" s="75">
        <v>260103</v>
      </c>
      <c r="B21" s="76">
        <v>1</v>
      </c>
      <c r="C21" s="77" t="s">
        <v>186</v>
      </c>
      <c r="D21" s="78">
        <v>0.0982</v>
      </c>
      <c r="E21" s="76">
        <v>14987.79</v>
      </c>
    </row>
    <row r="22" ht="15.75" spans="1:5">
      <c r="A22" s="75"/>
      <c r="B22" s="76">
        <v>2</v>
      </c>
      <c r="C22" s="77" t="s">
        <v>193</v>
      </c>
      <c r="D22" s="78">
        <v>0.0745</v>
      </c>
      <c r="E22" s="76">
        <v>11377.8</v>
      </c>
    </row>
    <row r="23" ht="15.75" spans="1:5">
      <c r="A23" s="75"/>
      <c r="B23" s="76">
        <v>3</v>
      </c>
      <c r="C23" s="77" t="s">
        <v>280</v>
      </c>
      <c r="D23" s="78">
        <v>0.0658</v>
      </c>
      <c r="E23" s="76">
        <v>10049.82</v>
      </c>
    </row>
    <row r="24" ht="15.75" spans="1:5">
      <c r="A24" s="75"/>
      <c r="B24" s="76">
        <v>4</v>
      </c>
      <c r="C24" s="77" t="s">
        <v>281</v>
      </c>
      <c r="D24" s="78">
        <v>0.0654</v>
      </c>
      <c r="E24" s="76">
        <v>9981.29</v>
      </c>
    </row>
    <row r="25" ht="15.75" spans="1:5">
      <c r="A25" s="75"/>
      <c r="B25" s="76">
        <v>5</v>
      </c>
      <c r="C25" s="77" t="s">
        <v>282</v>
      </c>
      <c r="D25" s="78">
        <v>0.0533</v>
      </c>
      <c r="E25" s="76">
        <v>8133.49</v>
      </c>
    </row>
    <row r="26" ht="15.75" spans="1:5">
      <c r="A26" s="75"/>
      <c r="B26" s="76">
        <v>6</v>
      </c>
      <c r="C26" s="77" t="s">
        <v>230</v>
      </c>
      <c r="D26" s="78">
        <v>0.0377</v>
      </c>
      <c r="E26" s="76">
        <v>5755.82</v>
      </c>
    </row>
    <row r="27" ht="15.75" spans="1:5">
      <c r="A27" s="75"/>
      <c r="B27" s="76">
        <v>7</v>
      </c>
      <c r="C27" s="77" t="s">
        <v>283</v>
      </c>
      <c r="D27" s="78">
        <v>0.0345</v>
      </c>
      <c r="E27" s="76">
        <v>5271.48</v>
      </c>
    </row>
    <row r="28" ht="15.75" spans="1:5">
      <c r="A28" s="75"/>
      <c r="B28" s="76">
        <v>8</v>
      </c>
      <c r="C28" s="77" t="s">
        <v>284</v>
      </c>
      <c r="D28" s="78">
        <v>0.0277</v>
      </c>
      <c r="E28" s="76">
        <v>4234.03</v>
      </c>
    </row>
    <row r="29" ht="15.75" spans="1:5">
      <c r="A29" s="75"/>
      <c r="B29" s="76">
        <v>9</v>
      </c>
      <c r="C29" s="77" t="s">
        <v>285</v>
      </c>
      <c r="D29" s="78">
        <v>0.0268</v>
      </c>
      <c r="E29" s="76">
        <v>4088.04</v>
      </c>
    </row>
    <row r="30" ht="15.75" spans="1:5">
      <c r="A30" s="75"/>
      <c r="B30" s="76">
        <v>10</v>
      </c>
      <c r="C30" s="77" t="s">
        <v>265</v>
      </c>
      <c r="D30" s="78">
        <v>0.0265</v>
      </c>
      <c r="E30" s="76">
        <v>4039.8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selection activeCell="K13" sqref="K13"/>
    </sheetView>
  </sheetViews>
  <sheetFormatPr defaultColWidth="9" defaultRowHeight="13.5"/>
  <sheetData>
    <row r="1" ht="15.75" spans="1:20">
      <c r="A1" s="103" t="s">
        <v>286</v>
      </c>
      <c r="B1" s="20">
        <v>1</v>
      </c>
      <c r="C1" s="20" t="s">
        <v>287</v>
      </c>
      <c r="D1" s="22">
        <v>0.072</v>
      </c>
      <c r="E1" s="20">
        <v>4356.61</v>
      </c>
      <c r="F1" s="73">
        <v>110011</v>
      </c>
      <c r="G1" s="20">
        <v>1</v>
      </c>
      <c r="H1" s="21" t="s">
        <v>198</v>
      </c>
      <c r="I1" s="22">
        <v>0.0951</v>
      </c>
      <c r="J1" s="20">
        <v>182144.67</v>
      </c>
      <c r="K1" s="104" t="s">
        <v>58</v>
      </c>
      <c r="L1" s="20">
        <v>1</v>
      </c>
      <c r="M1" s="21" t="s">
        <v>288</v>
      </c>
      <c r="N1" s="22">
        <v>0.0353</v>
      </c>
      <c r="O1" s="20">
        <v>45374.92</v>
      </c>
      <c r="P1" s="104" t="s">
        <v>289</v>
      </c>
      <c r="Q1" s="20">
        <v>1</v>
      </c>
      <c r="R1" s="20" t="s">
        <v>290</v>
      </c>
      <c r="S1" s="22">
        <v>0.0352</v>
      </c>
      <c r="T1" s="20">
        <v>3547.27</v>
      </c>
    </row>
    <row r="2" ht="15.75" spans="2:20">
      <c r="B2" s="20">
        <v>2</v>
      </c>
      <c r="C2" s="20" t="s">
        <v>291</v>
      </c>
      <c r="D2" s="22">
        <v>0.0599</v>
      </c>
      <c r="E2" s="20">
        <v>3622.11</v>
      </c>
      <c r="G2" s="20">
        <v>2</v>
      </c>
      <c r="H2" s="21" t="s">
        <v>186</v>
      </c>
      <c r="I2" s="22">
        <v>0.0924</v>
      </c>
      <c r="J2" s="20">
        <v>177008.48</v>
      </c>
      <c r="L2" s="20">
        <v>2</v>
      </c>
      <c r="M2" s="20" t="s">
        <v>230</v>
      </c>
      <c r="N2" s="22">
        <v>0.0244</v>
      </c>
      <c r="O2" s="20">
        <v>31412.37</v>
      </c>
      <c r="Q2" s="20">
        <v>2</v>
      </c>
      <c r="R2" s="21" t="s">
        <v>288</v>
      </c>
      <c r="S2" s="22">
        <v>0.0316</v>
      </c>
      <c r="T2" s="20">
        <v>3185.5</v>
      </c>
    </row>
    <row r="3" ht="15.75" spans="2:20">
      <c r="B3" s="20">
        <v>3</v>
      </c>
      <c r="C3" s="20" t="s">
        <v>292</v>
      </c>
      <c r="D3" s="22">
        <v>0.0578</v>
      </c>
      <c r="E3" s="20">
        <v>3493.63</v>
      </c>
      <c r="G3" s="20">
        <v>3</v>
      </c>
      <c r="H3" s="21" t="s">
        <v>193</v>
      </c>
      <c r="I3" s="22">
        <v>0.092</v>
      </c>
      <c r="J3" s="20">
        <v>176253.6</v>
      </c>
      <c r="L3" s="20">
        <v>3</v>
      </c>
      <c r="M3" s="20" t="s">
        <v>293</v>
      </c>
      <c r="N3" s="22">
        <v>0.0237</v>
      </c>
      <c r="O3" s="20">
        <v>30472.47</v>
      </c>
      <c r="Q3" s="20">
        <v>3</v>
      </c>
      <c r="R3" s="20" t="s">
        <v>294</v>
      </c>
      <c r="S3" s="22">
        <v>0.0228</v>
      </c>
      <c r="T3" s="20">
        <v>2294.65</v>
      </c>
    </row>
    <row r="4" ht="15.75" spans="2:20">
      <c r="B4" s="20">
        <v>4</v>
      </c>
      <c r="C4" s="21" t="s">
        <v>295</v>
      </c>
      <c r="D4" s="22">
        <v>0.0467</v>
      </c>
      <c r="E4" s="20">
        <v>2822.7</v>
      </c>
      <c r="G4" s="20">
        <v>4</v>
      </c>
      <c r="H4" s="20" t="s">
        <v>213</v>
      </c>
      <c r="I4" s="22">
        <v>0.0839</v>
      </c>
      <c r="J4" s="20">
        <v>160765</v>
      </c>
      <c r="L4" s="20">
        <v>4</v>
      </c>
      <c r="M4" s="21" t="s">
        <v>296</v>
      </c>
      <c r="N4" s="22">
        <v>0.0222</v>
      </c>
      <c r="O4" s="20">
        <v>28629.34</v>
      </c>
      <c r="Q4" s="20">
        <v>4</v>
      </c>
      <c r="R4" s="20" t="s">
        <v>297</v>
      </c>
      <c r="S4" s="22">
        <v>0.0221</v>
      </c>
      <c r="T4" s="20">
        <v>2226.71</v>
      </c>
    </row>
    <row r="5" ht="15.75" spans="2:20">
      <c r="B5" s="20">
        <v>5</v>
      </c>
      <c r="C5" s="21" t="s">
        <v>186</v>
      </c>
      <c r="D5" s="22">
        <v>0.0435</v>
      </c>
      <c r="E5" s="20">
        <v>2633.18</v>
      </c>
      <c r="G5" s="24">
        <v>5</v>
      </c>
      <c r="H5" s="24" t="s">
        <v>210</v>
      </c>
      <c r="I5" s="26">
        <v>0.0686</v>
      </c>
      <c r="J5" s="24">
        <v>131457</v>
      </c>
      <c r="L5" s="20">
        <v>5</v>
      </c>
      <c r="M5" s="21" t="s">
        <v>298</v>
      </c>
      <c r="N5" s="22">
        <v>0.0216</v>
      </c>
      <c r="O5" s="20">
        <v>27745.49</v>
      </c>
      <c r="Q5" s="20">
        <v>5</v>
      </c>
      <c r="R5" s="21" t="s">
        <v>298</v>
      </c>
      <c r="S5" s="22">
        <v>0.0215</v>
      </c>
      <c r="T5" s="20">
        <v>2168.99</v>
      </c>
    </row>
    <row r="6" ht="15.75" spans="2:20">
      <c r="B6" s="24">
        <v>6</v>
      </c>
      <c r="C6" s="25" t="s">
        <v>193</v>
      </c>
      <c r="D6" s="26">
        <v>0.0424</v>
      </c>
      <c r="E6" s="24">
        <v>2566.8</v>
      </c>
      <c r="G6" s="20">
        <v>6</v>
      </c>
      <c r="H6" s="20" t="s">
        <v>269</v>
      </c>
      <c r="I6" s="22">
        <v>0.0617</v>
      </c>
      <c r="J6" s="20">
        <v>118150</v>
      </c>
      <c r="L6" s="20">
        <v>6</v>
      </c>
      <c r="M6" s="21" t="s">
        <v>189</v>
      </c>
      <c r="N6" s="22">
        <v>0.0206</v>
      </c>
      <c r="O6" s="20">
        <v>26479.77</v>
      </c>
      <c r="Q6" s="20">
        <v>6</v>
      </c>
      <c r="R6" s="20" t="s">
        <v>299</v>
      </c>
      <c r="S6" s="22">
        <v>0.0212</v>
      </c>
      <c r="T6" s="20">
        <v>2137.48</v>
      </c>
    </row>
    <row r="7" ht="15.75" spans="2:20">
      <c r="B7" s="20">
        <v>7</v>
      </c>
      <c r="C7" s="20" t="s">
        <v>300</v>
      </c>
      <c r="D7" s="22">
        <v>0.0421</v>
      </c>
      <c r="E7" s="20">
        <v>2545.65</v>
      </c>
      <c r="G7" s="20">
        <v>7</v>
      </c>
      <c r="H7" s="20" t="s">
        <v>191</v>
      </c>
      <c r="I7" s="22">
        <v>0.0601</v>
      </c>
      <c r="J7" s="20">
        <v>115071.53</v>
      </c>
      <c r="L7" s="20">
        <v>7</v>
      </c>
      <c r="M7" s="20" t="s">
        <v>301</v>
      </c>
      <c r="N7" s="22">
        <v>0.0203</v>
      </c>
      <c r="O7" s="20">
        <v>26094.04</v>
      </c>
      <c r="Q7" s="20">
        <v>7</v>
      </c>
      <c r="R7" s="21" t="s">
        <v>296</v>
      </c>
      <c r="S7" s="22">
        <v>0.0208</v>
      </c>
      <c r="T7" s="20">
        <v>2100.89</v>
      </c>
    </row>
    <row r="8" ht="15.75" spans="2:20">
      <c r="B8" s="20">
        <v>8</v>
      </c>
      <c r="C8" s="20" t="s">
        <v>302</v>
      </c>
      <c r="D8" s="22">
        <v>0.0415</v>
      </c>
      <c r="E8" s="20">
        <v>2511.42</v>
      </c>
      <c r="G8" s="20">
        <v>8</v>
      </c>
      <c r="H8" s="20" t="s">
        <v>266</v>
      </c>
      <c r="I8" s="22">
        <v>0.0595</v>
      </c>
      <c r="J8" s="20">
        <v>113870.96</v>
      </c>
      <c r="L8" s="20">
        <v>8</v>
      </c>
      <c r="M8" s="20" t="s">
        <v>303</v>
      </c>
      <c r="N8" s="22">
        <v>0.0186</v>
      </c>
      <c r="O8" s="20">
        <v>23930.7</v>
      </c>
      <c r="Q8" s="20">
        <v>8</v>
      </c>
      <c r="R8" s="20" t="s">
        <v>276</v>
      </c>
      <c r="S8" s="22">
        <v>0.0198</v>
      </c>
      <c r="T8" s="20">
        <v>1993.98</v>
      </c>
    </row>
    <row r="9" ht="15.75" spans="2:20">
      <c r="B9" s="20">
        <v>9</v>
      </c>
      <c r="C9" s="20" t="s">
        <v>304</v>
      </c>
      <c r="D9" s="22">
        <v>0.0364</v>
      </c>
      <c r="E9" s="20">
        <v>2200</v>
      </c>
      <c r="G9" s="20">
        <v>9</v>
      </c>
      <c r="H9" s="20" t="s">
        <v>275</v>
      </c>
      <c r="I9" s="22">
        <v>0.0585</v>
      </c>
      <c r="J9" s="20">
        <v>112101.1</v>
      </c>
      <c r="L9" s="20">
        <v>9</v>
      </c>
      <c r="M9" s="20" t="s">
        <v>305</v>
      </c>
      <c r="N9" s="22">
        <v>0.0171</v>
      </c>
      <c r="O9" s="20">
        <v>22008.9</v>
      </c>
      <c r="Q9" s="24">
        <v>9</v>
      </c>
      <c r="R9" s="24" t="s">
        <v>306</v>
      </c>
      <c r="S9" s="26">
        <v>0.0175</v>
      </c>
      <c r="T9" s="24">
        <v>1765.96</v>
      </c>
    </row>
    <row r="10" ht="15.75" spans="2:20">
      <c r="B10" s="20">
        <v>10</v>
      </c>
      <c r="C10" s="20" t="s">
        <v>307</v>
      </c>
      <c r="D10" s="22">
        <v>0.0338</v>
      </c>
      <c r="E10" s="20">
        <v>2046.65</v>
      </c>
      <c r="G10" s="20">
        <v>10</v>
      </c>
      <c r="H10" s="20" t="s">
        <v>278</v>
      </c>
      <c r="I10" s="22">
        <v>0.058</v>
      </c>
      <c r="J10" s="20">
        <v>111020</v>
      </c>
      <c r="L10" s="24">
        <v>10</v>
      </c>
      <c r="M10" s="24" t="s">
        <v>276</v>
      </c>
      <c r="N10" s="26">
        <v>0.0171</v>
      </c>
      <c r="O10" s="24">
        <v>21972.8</v>
      </c>
      <c r="Q10" s="20">
        <v>10</v>
      </c>
      <c r="R10" s="20" t="s">
        <v>308</v>
      </c>
      <c r="S10" s="22">
        <v>0.0169</v>
      </c>
      <c r="T10" s="20">
        <v>1700.07</v>
      </c>
    </row>
    <row r="11" ht="15.75" spans="1:20">
      <c r="A11" s="104" t="s">
        <v>66</v>
      </c>
      <c r="B11" s="20">
        <v>1</v>
      </c>
      <c r="C11" s="21" t="s">
        <v>225</v>
      </c>
      <c r="D11" s="22">
        <v>0.0686</v>
      </c>
      <c r="E11" s="20">
        <v>5038.02</v>
      </c>
      <c r="F11" s="104" t="s">
        <v>309</v>
      </c>
      <c r="G11" s="20">
        <v>1</v>
      </c>
      <c r="H11" s="20" t="s">
        <v>310</v>
      </c>
      <c r="I11" s="22">
        <v>0.0816</v>
      </c>
      <c r="J11" s="20">
        <v>1281.73</v>
      </c>
      <c r="K11" s="103" t="s">
        <v>64</v>
      </c>
      <c r="L11" s="20">
        <v>1</v>
      </c>
      <c r="M11" s="21" t="s">
        <v>311</v>
      </c>
      <c r="N11" s="22">
        <v>0.1069</v>
      </c>
      <c r="O11" s="20">
        <v>15665.58</v>
      </c>
      <c r="P11" s="30">
        <v>570001</v>
      </c>
      <c r="Q11" s="20">
        <v>1</v>
      </c>
      <c r="R11" s="20" t="s">
        <v>312</v>
      </c>
      <c r="S11" s="22">
        <v>0.0847</v>
      </c>
      <c r="T11" s="20">
        <v>13106.79</v>
      </c>
    </row>
    <row r="12" ht="15.75" spans="2:20">
      <c r="B12" s="20">
        <v>2</v>
      </c>
      <c r="C12" s="21" t="s">
        <v>311</v>
      </c>
      <c r="D12" s="22">
        <v>0.0614</v>
      </c>
      <c r="E12" s="20">
        <v>4506.57</v>
      </c>
      <c r="G12" s="20">
        <v>2</v>
      </c>
      <c r="H12" s="21" t="s">
        <v>225</v>
      </c>
      <c r="I12" s="22">
        <v>0.0815</v>
      </c>
      <c r="J12" s="20">
        <v>1280.14</v>
      </c>
      <c r="L12" s="20">
        <v>2</v>
      </c>
      <c r="M12" s="21" t="s">
        <v>197</v>
      </c>
      <c r="N12" s="22">
        <v>0.1018</v>
      </c>
      <c r="O12" s="20">
        <v>14914.61</v>
      </c>
      <c r="Q12" s="20">
        <v>2</v>
      </c>
      <c r="R12" s="20" t="s">
        <v>313</v>
      </c>
      <c r="S12" s="22">
        <v>0.0828</v>
      </c>
      <c r="T12" s="20">
        <v>12801.87</v>
      </c>
    </row>
    <row r="13" ht="15.75" spans="2:20">
      <c r="B13" s="20">
        <v>3</v>
      </c>
      <c r="C13" s="21" t="s">
        <v>314</v>
      </c>
      <c r="D13" s="22">
        <v>0.0586</v>
      </c>
      <c r="E13" s="20">
        <v>4299.46</v>
      </c>
      <c r="G13" s="20">
        <v>3</v>
      </c>
      <c r="H13" s="21" t="s">
        <v>314</v>
      </c>
      <c r="I13" s="22">
        <v>0.0792</v>
      </c>
      <c r="J13" s="20">
        <v>1244.41</v>
      </c>
      <c r="L13" s="20">
        <v>3</v>
      </c>
      <c r="M13" s="21" t="s">
        <v>315</v>
      </c>
      <c r="N13" s="22">
        <v>0.0744</v>
      </c>
      <c r="O13" s="20">
        <v>10905.59</v>
      </c>
      <c r="Q13" s="20">
        <v>3</v>
      </c>
      <c r="R13" s="21" t="s">
        <v>189</v>
      </c>
      <c r="S13" s="22">
        <v>0.0799</v>
      </c>
      <c r="T13" s="20">
        <v>12364.53</v>
      </c>
    </row>
    <row r="14" ht="15.75" spans="2:20">
      <c r="B14" s="20">
        <v>4</v>
      </c>
      <c r="C14" s="20" t="s">
        <v>316</v>
      </c>
      <c r="D14" s="22">
        <v>0.0545</v>
      </c>
      <c r="E14" s="20">
        <v>3996.97</v>
      </c>
      <c r="G14" s="20">
        <v>4</v>
      </c>
      <c r="H14" s="21" t="s">
        <v>197</v>
      </c>
      <c r="I14" s="22">
        <v>0.0779</v>
      </c>
      <c r="J14" s="20">
        <v>1224.01</v>
      </c>
      <c r="L14" s="20">
        <v>4</v>
      </c>
      <c r="M14" s="21" t="s">
        <v>239</v>
      </c>
      <c r="N14" s="22">
        <v>0.0655</v>
      </c>
      <c r="O14" s="20">
        <v>9601.88</v>
      </c>
      <c r="Q14" s="20">
        <v>4</v>
      </c>
      <c r="R14" s="21" t="s">
        <v>314</v>
      </c>
      <c r="S14" s="22">
        <v>0.0784</v>
      </c>
      <c r="T14" s="20">
        <v>12119.47</v>
      </c>
    </row>
    <row r="15" ht="15.75" spans="2:20">
      <c r="B15" s="20">
        <v>5</v>
      </c>
      <c r="C15" s="21" t="s">
        <v>317</v>
      </c>
      <c r="D15" s="22">
        <v>0.0466</v>
      </c>
      <c r="E15" s="20">
        <v>3421.14</v>
      </c>
      <c r="G15" s="20">
        <v>5</v>
      </c>
      <c r="H15" s="20" t="s">
        <v>318</v>
      </c>
      <c r="I15" s="22">
        <v>0.0662</v>
      </c>
      <c r="J15" s="20">
        <v>1039.73</v>
      </c>
      <c r="L15" s="20">
        <v>5</v>
      </c>
      <c r="M15" s="20" t="s">
        <v>319</v>
      </c>
      <c r="N15" s="22">
        <v>0.0646</v>
      </c>
      <c r="O15" s="20">
        <v>9470.78</v>
      </c>
      <c r="Q15" s="20">
        <v>5</v>
      </c>
      <c r="R15" s="21" t="s">
        <v>225</v>
      </c>
      <c r="S15" s="22">
        <v>0.0782</v>
      </c>
      <c r="T15" s="20">
        <v>12096.52</v>
      </c>
    </row>
    <row r="16" ht="15.75" spans="2:20">
      <c r="B16" s="20">
        <v>6</v>
      </c>
      <c r="C16" s="20" t="s">
        <v>320</v>
      </c>
      <c r="D16" s="22">
        <v>0.0455</v>
      </c>
      <c r="E16" s="20">
        <v>3342.31</v>
      </c>
      <c r="G16" s="20">
        <v>6</v>
      </c>
      <c r="H16" s="20" t="s">
        <v>264</v>
      </c>
      <c r="I16" s="22">
        <v>0.0598</v>
      </c>
      <c r="J16" s="20">
        <v>939.62</v>
      </c>
      <c r="L16" s="20">
        <v>6</v>
      </c>
      <c r="M16" s="21" t="s">
        <v>225</v>
      </c>
      <c r="N16" s="22">
        <v>0.0572</v>
      </c>
      <c r="O16" s="20">
        <v>8375.73</v>
      </c>
      <c r="Q16" s="20">
        <v>6</v>
      </c>
      <c r="R16" s="20" t="s">
        <v>321</v>
      </c>
      <c r="S16" s="22">
        <v>0.0759</v>
      </c>
      <c r="T16" s="20">
        <v>11732.47</v>
      </c>
    </row>
    <row r="17" ht="15.75" spans="2:20">
      <c r="B17" s="20">
        <v>7</v>
      </c>
      <c r="C17" s="20" t="s">
        <v>224</v>
      </c>
      <c r="D17" s="22">
        <v>0.0448</v>
      </c>
      <c r="E17" s="20">
        <v>3285</v>
      </c>
      <c r="G17" s="20">
        <v>7</v>
      </c>
      <c r="H17" s="20" t="s">
        <v>322</v>
      </c>
      <c r="I17" s="22">
        <v>0.0586</v>
      </c>
      <c r="J17" s="20">
        <v>920.29</v>
      </c>
      <c r="L17" s="20">
        <v>7</v>
      </c>
      <c r="M17" s="20" t="s">
        <v>323</v>
      </c>
      <c r="N17" s="22">
        <v>0.0503</v>
      </c>
      <c r="O17" s="20">
        <v>7369.73</v>
      </c>
      <c r="Q17" s="20">
        <v>7</v>
      </c>
      <c r="R17" s="20" t="s">
        <v>265</v>
      </c>
      <c r="S17" s="22">
        <v>0.072</v>
      </c>
      <c r="T17" s="20">
        <v>11133.35</v>
      </c>
    </row>
    <row r="18" ht="15.75" spans="2:20">
      <c r="B18" s="20">
        <v>8</v>
      </c>
      <c r="C18" s="21" t="s">
        <v>197</v>
      </c>
      <c r="D18" s="22">
        <v>0.0421</v>
      </c>
      <c r="E18" s="20">
        <v>3088.06</v>
      </c>
      <c r="G18" s="20">
        <v>8</v>
      </c>
      <c r="H18" s="21" t="s">
        <v>315</v>
      </c>
      <c r="I18" s="22">
        <v>0.0568</v>
      </c>
      <c r="J18" s="20">
        <v>891.97</v>
      </c>
      <c r="L18" s="20">
        <v>8</v>
      </c>
      <c r="M18" s="20" t="s">
        <v>324</v>
      </c>
      <c r="N18" s="22">
        <v>0.0484</v>
      </c>
      <c r="O18" s="20">
        <v>7097.11</v>
      </c>
      <c r="Q18" s="20">
        <v>8</v>
      </c>
      <c r="R18" s="20" t="s">
        <v>194</v>
      </c>
      <c r="S18" s="22">
        <v>0.0524</v>
      </c>
      <c r="T18" s="20">
        <v>8107.56</v>
      </c>
    </row>
    <row r="19" ht="15.75" spans="2:20">
      <c r="B19" s="20">
        <v>9</v>
      </c>
      <c r="C19" s="21" t="s">
        <v>239</v>
      </c>
      <c r="D19" s="22">
        <v>0.0397</v>
      </c>
      <c r="E19" s="20">
        <v>2910.75</v>
      </c>
      <c r="G19" s="24">
        <v>9</v>
      </c>
      <c r="H19" s="24" t="s">
        <v>323</v>
      </c>
      <c r="I19" s="26">
        <v>0.049</v>
      </c>
      <c r="J19" s="24">
        <v>770.2</v>
      </c>
      <c r="L19" s="20">
        <v>9</v>
      </c>
      <c r="M19" s="20" t="s">
        <v>325</v>
      </c>
      <c r="N19" s="22">
        <v>0.0479</v>
      </c>
      <c r="O19" s="20">
        <v>7019.97</v>
      </c>
      <c r="Q19" s="20">
        <v>9</v>
      </c>
      <c r="R19" s="21" t="s">
        <v>193</v>
      </c>
      <c r="S19" s="22">
        <v>0.0488</v>
      </c>
      <c r="T19" s="20">
        <v>7554.95</v>
      </c>
    </row>
    <row r="20" ht="15.75" spans="2:20">
      <c r="B20" s="24">
        <v>10</v>
      </c>
      <c r="C20" s="24" t="s">
        <v>276</v>
      </c>
      <c r="D20" s="26">
        <v>0.0368</v>
      </c>
      <c r="E20" s="24">
        <v>2702.81</v>
      </c>
      <c r="G20" s="20">
        <v>10</v>
      </c>
      <c r="H20" s="20" t="s">
        <v>260</v>
      </c>
      <c r="I20" s="22">
        <v>0.0448</v>
      </c>
      <c r="J20" s="20">
        <v>703.72</v>
      </c>
      <c r="L20" s="24">
        <v>10</v>
      </c>
      <c r="M20" s="24" t="s">
        <v>326</v>
      </c>
      <c r="N20" s="26">
        <v>0.0462</v>
      </c>
      <c r="O20" s="24">
        <v>6771.29</v>
      </c>
      <c r="Q20" s="20">
        <v>10</v>
      </c>
      <c r="R20" s="21" t="s">
        <v>198</v>
      </c>
      <c r="S20" s="22">
        <v>0.044</v>
      </c>
      <c r="T20" s="20">
        <v>6799.68</v>
      </c>
    </row>
    <row r="21" ht="15.75" spans="1:15">
      <c r="A21" s="103" t="s">
        <v>327</v>
      </c>
      <c r="B21" s="20">
        <v>1</v>
      </c>
      <c r="C21" s="20" t="s">
        <v>328</v>
      </c>
      <c r="D21" s="22">
        <v>0.0895</v>
      </c>
      <c r="E21" s="20">
        <v>15179.74</v>
      </c>
      <c r="F21" s="105" t="s">
        <v>329</v>
      </c>
      <c r="G21" s="20">
        <v>1</v>
      </c>
      <c r="H21" s="21" t="s">
        <v>200</v>
      </c>
      <c r="I21" s="22">
        <v>0.0948</v>
      </c>
      <c r="J21" s="20">
        <v>12900.99</v>
      </c>
      <c r="K21" s="106" t="s">
        <v>330</v>
      </c>
      <c r="L21" s="20">
        <v>1</v>
      </c>
      <c r="M21" s="20" t="s">
        <v>232</v>
      </c>
      <c r="N21" s="22">
        <v>0.0781</v>
      </c>
      <c r="O21" s="20">
        <v>146580.4</v>
      </c>
    </row>
    <row r="22" ht="15.75" spans="2:15">
      <c r="B22" s="20">
        <v>2</v>
      </c>
      <c r="C22" s="21" t="s">
        <v>317</v>
      </c>
      <c r="D22" s="22">
        <v>0.0684</v>
      </c>
      <c r="E22" s="20">
        <v>11592.62</v>
      </c>
      <c r="G22" s="20">
        <v>2</v>
      </c>
      <c r="H22" s="21" t="s">
        <v>186</v>
      </c>
      <c r="I22" s="22">
        <v>0.0895</v>
      </c>
      <c r="J22" s="20">
        <v>12178.04</v>
      </c>
      <c r="L22" s="20">
        <v>2</v>
      </c>
      <c r="M22" s="21" t="s">
        <v>225</v>
      </c>
      <c r="N22" s="22">
        <v>0.0652</v>
      </c>
      <c r="O22" s="20">
        <v>122464.23</v>
      </c>
    </row>
    <row r="23" ht="15.75" spans="2:15">
      <c r="B23" s="20">
        <v>3</v>
      </c>
      <c r="C23" s="21" t="s">
        <v>295</v>
      </c>
      <c r="D23" s="22">
        <v>0.0456</v>
      </c>
      <c r="E23" s="20">
        <v>7737.11</v>
      </c>
      <c r="G23" s="20">
        <v>3</v>
      </c>
      <c r="H23" s="21" t="s">
        <v>189</v>
      </c>
      <c r="I23" s="22">
        <v>0.0843</v>
      </c>
      <c r="J23" s="20">
        <v>11467.72</v>
      </c>
      <c r="L23" s="20">
        <v>3</v>
      </c>
      <c r="M23" s="21" t="s">
        <v>311</v>
      </c>
      <c r="N23" s="22">
        <v>0.0633</v>
      </c>
      <c r="O23" s="20">
        <v>118912.56</v>
      </c>
    </row>
    <row r="24" ht="15.75" spans="2:15">
      <c r="B24" s="20">
        <v>4</v>
      </c>
      <c r="C24" s="20" t="s">
        <v>331</v>
      </c>
      <c r="D24" s="22">
        <v>0.034</v>
      </c>
      <c r="E24" s="20">
        <v>5770.99</v>
      </c>
      <c r="G24" s="20">
        <v>4</v>
      </c>
      <c r="H24" s="20" t="s">
        <v>192</v>
      </c>
      <c r="I24" s="22">
        <v>0.083</v>
      </c>
      <c r="J24" s="20">
        <v>11286.04</v>
      </c>
      <c r="L24" s="20">
        <v>4</v>
      </c>
      <c r="M24" s="20" t="s">
        <v>332</v>
      </c>
      <c r="N24" s="22">
        <v>0.0592</v>
      </c>
      <c r="O24" s="20">
        <v>111114.89</v>
      </c>
    </row>
    <row r="25" ht="15.75" spans="2:15">
      <c r="B25" s="20">
        <v>5</v>
      </c>
      <c r="C25" s="20" t="s">
        <v>333</v>
      </c>
      <c r="D25" s="22">
        <v>0.0289</v>
      </c>
      <c r="E25" s="20">
        <v>4904.82</v>
      </c>
      <c r="G25" s="20">
        <v>5</v>
      </c>
      <c r="H25" s="20" t="s">
        <v>195</v>
      </c>
      <c r="I25" s="22">
        <v>0.0821</v>
      </c>
      <c r="J25" s="20">
        <v>11172.13</v>
      </c>
      <c r="L25" s="20">
        <v>5</v>
      </c>
      <c r="M25" s="20" t="s">
        <v>214</v>
      </c>
      <c r="N25" s="22">
        <v>0.0568</v>
      </c>
      <c r="O25" s="20">
        <v>106615.92</v>
      </c>
    </row>
    <row r="26" ht="15.75" spans="2:15">
      <c r="B26" s="20">
        <v>6</v>
      </c>
      <c r="C26" s="20" t="s">
        <v>260</v>
      </c>
      <c r="D26" s="22">
        <v>0.0289</v>
      </c>
      <c r="E26" s="20">
        <v>4903.31</v>
      </c>
      <c r="G26" s="20">
        <v>6</v>
      </c>
      <c r="H26" s="21" t="s">
        <v>197</v>
      </c>
      <c r="I26" s="22">
        <v>0.08</v>
      </c>
      <c r="J26" s="20">
        <v>10879.68</v>
      </c>
      <c r="L26" s="20">
        <v>6</v>
      </c>
      <c r="M26" s="21" t="s">
        <v>200</v>
      </c>
      <c r="N26" s="22">
        <v>0.0559</v>
      </c>
      <c r="O26" s="20">
        <v>104876.05</v>
      </c>
    </row>
    <row r="27" ht="15.75" spans="2:15">
      <c r="B27" s="20">
        <v>7</v>
      </c>
      <c r="C27" s="20" t="s">
        <v>334</v>
      </c>
      <c r="D27" s="22">
        <v>0.0284</v>
      </c>
      <c r="E27" s="20">
        <v>4818.49</v>
      </c>
      <c r="G27" s="20">
        <v>7</v>
      </c>
      <c r="H27" s="20" t="s">
        <v>203</v>
      </c>
      <c r="I27" s="22">
        <v>0.0687</v>
      </c>
      <c r="J27" s="20">
        <v>9343.76</v>
      </c>
      <c r="L27" s="20">
        <v>7</v>
      </c>
      <c r="M27" s="20" t="s">
        <v>235</v>
      </c>
      <c r="N27" s="22">
        <v>0.0535</v>
      </c>
      <c r="O27" s="20">
        <v>100403.26</v>
      </c>
    </row>
    <row r="28" ht="15.75" spans="2:15">
      <c r="B28" s="20">
        <v>8</v>
      </c>
      <c r="C28" s="20" t="s">
        <v>335</v>
      </c>
      <c r="D28" s="22">
        <v>0.0226</v>
      </c>
      <c r="E28" s="20">
        <v>3840.01</v>
      </c>
      <c r="G28" s="20">
        <v>8</v>
      </c>
      <c r="H28" s="20" t="s">
        <v>206</v>
      </c>
      <c r="I28" s="22">
        <v>0.0543</v>
      </c>
      <c r="J28" s="20">
        <v>7385.74</v>
      </c>
      <c r="L28" s="24">
        <v>8</v>
      </c>
      <c r="M28" s="24" t="s">
        <v>336</v>
      </c>
      <c r="N28" s="26">
        <v>0.0509</v>
      </c>
      <c r="O28" s="24">
        <v>95560.51</v>
      </c>
    </row>
    <row r="29" ht="15.75" spans="2:15">
      <c r="B29" s="24">
        <v>9</v>
      </c>
      <c r="C29" s="24" t="s">
        <v>337</v>
      </c>
      <c r="D29" s="26">
        <v>0.0211</v>
      </c>
      <c r="E29" s="24">
        <v>3584.63</v>
      </c>
      <c r="G29" s="20">
        <v>9</v>
      </c>
      <c r="H29" s="20" t="s">
        <v>209</v>
      </c>
      <c r="I29" s="22">
        <v>0.0402</v>
      </c>
      <c r="J29" s="20">
        <v>5470.71</v>
      </c>
      <c r="L29" s="20">
        <v>9</v>
      </c>
      <c r="M29" s="20" t="s">
        <v>220</v>
      </c>
      <c r="N29" s="22">
        <v>0.0475</v>
      </c>
      <c r="O29" s="20">
        <v>89241.13</v>
      </c>
    </row>
    <row r="30" ht="15.75" spans="2:15">
      <c r="B30" s="20">
        <v>10</v>
      </c>
      <c r="C30" s="20" t="s">
        <v>338</v>
      </c>
      <c r="D30" s="22">
        <v>0.0198</v>
      </c>
      <c r="E30" s="20">
        <v>3357.49</v>
      </c>
      <c r="G30" s="24">
        <v>10</v>
      </c>
      <c r="H30" s="24" t="s">
        <v>212</v>
      </c>
      <c r="I30" s="26">
        <v>0.0381</v>
      </c>
      <c r="J30" s="24">
        <v>5184.74</v>
      </c>
      <c r="L30" s="20">
        <v>10</v>
      </c>
      <c r="M30" s="20" t="s">
        <v>203</v>
      </c>
      <c r="N30" s="22">
        <v>0.0475</v>
      </c>
      <c r="O30" s="20">
        <v>89183.91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topLeftCell="A4" workbookViewId="0">
      <selection activeCell="K21" sqref="K21"/>
    </sheetView>
  </sheetViews>
  <sheetFormatPr defaultColWidth="9" defaultRowHeight="13.5"/>
  <cols>
    <col min="1" max="1" width="8.125" customWidth="1"/>
    <col min="2" max="2" width="3.375" customWidth="1"/>
    <col min="3" max="3" width="8.125" customWidth="1"/>
    <col min="4" max="4" width="6.125" customWidth="1"/>
    <col min="5" max="5" width="9.375" customWidth="1"/>
    <col min="6" max="6" width="8.125" customWidth="1"/>
    <col min="7" max="7" width="3.375" customWidth="1"/>
    <col min="8" max="8" width="8.125" customWidth="1"/>
    <col min="9" max="9" width="6.125" customWidth="1"/>
    <col min="10" max="10" width="10.375" customWidth="1"/>
    <col min="11" max="11" width="8.125" customWidth="1"/>
    <col min="12" max="12" width="3.375" customWidth="1"/>
    <col min="13" max="13" width="20.75" customWidth="1"/>
    <col min="14" max="14" width="7.125" customWidth="1"/>
    <col min="15" max="15" width="9.375" customWidth="1"/>
    <col min="16" max="16" width="7.375" customWidth="1"/>
    <col min="17" max="17" width="3.375" customWidth="1"/>
    <col min="18" max="18" width="15.5" customWidth="1"/>
    <col min="19" max="19" width="7.125" customWidth="1"/>
    <col min="20" max="20" width="9.375" customWidth="1"/>
    <col min="22" max="22" width="7.375" customWidth="1"/>
    <col min="23" max="23" width="3.375" customWidth="1"/>
    <col min="24" max="24" width="8.125" customWidth="1"/>
    <col min="25" max="25" width="7.125" customWidth="1"/>
    <col min="26" max="26" width="10.375" customWidth="1"/>
    <col min="28" max="28" width="9.375"/>
  </cols>
  <sheetData>
    <row r="1" ht="25.5" spans="6:28">
      <c r="F1" s="107" t="s">
        <v>130</v>
      </c>
      <c r="G1" s="20">
        <v>1</v>
      </c>
      <c r="H1" s="20" t="s">
        <v>187</v>
      </c>
      <c r="I1" s="22">
        <v>0.0962</v>
      </c>
      <c r="J1" s="20">
        <v>175338.83</v>
      </c>
      <c r="K1" s="108" t="s">
        <v>339</v>
      </c>
      <c r="L1" s="20">
        <v>1</v>
      </c>
      <c r="M1" s="20" t="s">
        <v>340</v>
      </c>
      <c r="N1" s="22">
        <v>0.1113</v>
      </c>
      <c r="O1" s="20">
        <v>11874.8</v>
      </c>
      <c r="R1" s="106" t="s">
        <v>341</v>
      </c>
      <c r="S1" s="20">
        <v>1</v>
      </c>
      <c r="T1" s="20" t="s">
        <v>342</v>
      </c>
      <c r="U1" s="22">
        <v>0.0964</v>
      </c>
      <c r="V1" s="20">
        <v>37357.88</v>
      </c>
      <c r="X1" s="71">
        <v>519736</v>
      </c>
      <c r="Y1" s="20">
        <v>1</v>
      </c>
      <c r="Z1" s="67" t="s">
        <v>242</v>
      </c>
      <c r="AA1" s="22">
        <v>0.0821</v>
      </c>
      <c r="AB1" s="20">
        <v>68857.32</v>
      </c>
    </row>
    <row r="2" ht="15.75" spans="7:28">
      <c r="G2" s="20">
        <v>2</v>
      </c>
      <c r="H2" s="20" t="s">
        <v>190</v>
      </c>
      <c r="I2" s="22">
        <v>0.0957</v>
      </c>
      <c r="J2" s="20">
        <v>174388.43</v>
      </c>
      <c r="L2" s="20">
        <v>2</v>
      </c>
      <c r="M2" s="20" t="s">
        <v>343</v>
      </c>
      <c r="N2" s="22">
        <v>0.1086</v>
      </c>
      <c r="O2" s="20">
        <v>11587.94</v>
      </c>
      <c r="S2" s="20">
        <v>2</v>
      </c>
      <c r="T2" s="20" t="s">
        <v>277</v>
      </c>
      <c r="U2" s="22">
        <v>0.0912</v>
      </c>
      <c r="V2" s="20">
        <v>35332.09</v>
      </c>
      <c r="Y2" s="20">
        <v>2</v>
      </c>
      <c r="Z2" s="43" t="s">
        <v>344</v>
      </c>
      <c r="AA2" s="22">
        <v>0.0779</v>
      </c>
      <c r="AB2" s="20">
        <v>65287.05</v>
      </c>
    </row>
    <row r="3" ht="15.75" spans="7:28">
      <c r="G3" s="20">
        <v>3</v>
      </c>
      <c r="H3" s="67" t="s">
        <v>193</v>
      </c>
      <c r="I3" s="22">
        <v>0.0948</v>
      </c>
      <c r="J3" s="20">
        <v>172661.29</v>
      </c>
      <c r="L3" s="20">
        <v>3</v>
      </c>
      <c r="M3" s="20" t="s">
        <v>345</v>
      </c>
      <c r="N3" s="22">
        <v>0.097</v>
      </c>
      <c r="O3" s="20">
        <v>10351.47</v>
      </c>
      <c r="S3" s="20">
        <v>3</v>
      </c>
      <c r="T3" s="21" t="s">
        <v>240</v>
      </c>
      <c r="U3" s="22">
        <v>0.0853</v>
      </c>
      <c r="V3" s="20">
        <v>33057.92</v>
      </c>
      <c r="Y3" s="20">
        <v>3</v>
      </c>
      <c r="Z3" s="67" t="s">
        <v>236</v>
      </c>
      <c r="AA3" s="22">
        <v>0.0733</v>
      </c>
      <c r="AB3" s="20">
        <v>61461.04</v>
      </c>
    </row>
    <row r="4" ht="15.75" spans="7:28">
      <c r="G4" s="20">
        <v>4</v>
      </c>
      <c r="H4" s="43" t="s">
        <v>186</v>
      </c>
      <c r="I4" s="22">
        <v>0.0945</v>
      </c>
      <c r="J4" s="20">
        <v>172182.59</v>
      </c>
      <c r="L4" s="20">
        <v>4</v>
      </c>
      <c r="M4" s="20" t="s">
        <v>346</v>
      </c>
      <c r="N4" s="22">
        <v>0.0385</v>
      </c>
      <c r="O4" s="20">
        <v>4104.05</v>
      </c>
      <c r="S4" s="20">
        <v>4</v>
      </c>
      <c r="T4" s="72" t="s">
        <v>347</v>
      </c>
      <c r="U4" s="22">
        <v>0.0762</v>
      </c>
      <c r="V4" s="20">
        <v>29520.99</v>
      </c>
      <c r="Y4" s="20">
        <v>4</v>
      </c>
      <c r="Z4" s="67" t="s">
        <v>234</v>
      </c>
      <c r="AA4" s="22">
        <v>0.0548</v>
      </c>
      <c r="AB4" s="20">
        <v>45924.73</v>
      </c>
    </row>
    <row r="5" ht="15.75" spans="7:28">
      <c r="G5" s="20">
        <v>5</v>
      </c>
      <c r="H5" s="43" t="s">
        <v>198</v>
      </c>
      <c r="I5" s="22">
        <v>0.0943</v>
      </c>
      <c r="J5" s="20">
        <v>171761.49</v>
      </c>
      <c r="L5" s="20">
        <v>5</v>
      </c>
      <c r="M5" s="20" t="s">
        <v>348</v>
      </c>
      <c r="N5" s="22">
        <v>0.0351</v>
      </c>
      <c r="O5" s="20">
        <v>3747.59</v>
      </c>
      <c r="S5" s="20">
        <v>5</v>
      </c>
      <c r="T5" s="20" t="s">
        <v>349</v>
      </c>
      <c r="U5" s="22">
        <v>0.0544</v>
      </c>
      <c r="V5" s="20">
        <v>21075.31</v>
      </c>
      <c r="Y5" s="20">
        <v>5</v>
      </c>
      <c r="Z5" s="67" t="s">
        <v>239</v>
      </c>
      <c r="AA5" s="22">
        <v>0.0491</v>
      </c>
      <c r="AB5" s="20">
        <v>41186.63</v>
      </c>
    </row>
    <row r="6" ht="15.75" spans="7:28">
      <c r="G6" s="20">
        <v>6</v>
      </c>
      <c r="H6" s="20" t="s">
        <v>201</v>
      </c>
      <c r="I6" s="22">
        <v>0.0719</v>
      </c>
      <c r="J6" s="20">
        <v>131068.01</v>
      </c>
      <c r="L6" s="20">
        <v>6</v>
      </c>
      <c r="M6" s="20" t="s">
        <v>350</v>
      </c>
      <c r="N6" s="22">
        <v>0.0341</v>
      </c>
      <c r="O6" s="20">
        <v>3635.78</v>
      </c>
      <c r="S6" s="20">
        <v>6</v>
      </c>
      <c r="T6" s="20" t="s">
        <v>351</v>
      </c>
      <c r="U6" s="22">
        <v>0.0462</v>
      </c>
      <c r="V6" s="20">
        <v>17887.31</v>
      </c>
      <c r="Y6" s="24">
        <v>6</v>
      </c>
      <c r="Z6" s="25" t="s">
        <v>230</v>
      </c>
      <c r="AA6" s="26">
        <v>0.044</v>
      </c>
      <c r="AB6" s="24">
        <v>36917.35</v>
      </c>
    </row>
    <row r="7" ht="38.25" spans="7:28">
      <c r="G7" s="20">
        <v>7</v>
      </c>
      <c r="H7" s="20" t="s">
        <v>204</v>
      </c>
      <c r="I7" s="22">
        <v>0.0622</v>
      </c>
      <c r="J7" s="20">
        <v>113364.57</v>
      </c>
      <c r="L7" s="20">
        <v>7</v>
      </c>
      <c r="M7" s="20" t="s">
        <v>352</v>
      </c>
      <c r="N7" s="22">
        <v>0.0228</v>
      </c>
      <c r="O7" s="20">
        <v>2428.31</v>
      </c>
      <c r="S7" s="20">
        <v>7</v>
      </c>
      <c r="T7" s="20" t="s">
        <v>353</v>
      </c>
      <c r="U7" s="22">
        <v>0.0456</v>
      </c>
      <c r="V7" s="20">
        <v>17661.99</v>
      </c>
      <c r="Y7" s="20">
        <v>7</v>
      </c>
      <c r="Z7" s="43" t="s">
        <v>265</v>
      </c>
      <c r="AA7" s="22">
        <v>0.0411</v>
      </c>
      <c r="AB7" s="20">
        <v>34489.77</v>
      </c>
    </row>
    <row r="8" ht="15.75" spans="7:28">
      <c r="G8" s="20">
        <v>8</v>
      </c>
      <c r="H8" s="20" t="s">
        <v>207</v>
      </c>
      <c r="I8" s="22">
        <v>0.0405</v>
      </c>
      <c r="J8" s="20">
        <v>73829.7</v>
      </c>
      <c r="L8" s="20">
        <v>8</v>
      </c>
      <c r="M8" s="20" t="s">
        <v>354</v>
      </c>
      <c r="N8" s="22">
        <v>0.0212</v>
      </c>
      <c r="O8" s="20">
        <v>2259.24</v>
      </c>
      <c r="S8" s="20">
        <v>8</v>
      </c>
      <c r="T8" s="21" t="s">
        <v>355</v>
      </c>
      <c r="U8" s="22">
        <v>0.0421</v>
      </c>
      <c r="V8" s="20">
        <v>16316.98</v>
      </c>
      <c r="Y8" s="20">
        <v>8</v>
      </c>
      <c r="Z8" s="20" t="s">
        <v>251</v>
      </c>
      <c r="AA8" s="22">
        <v>0.0407</v>
      </c>
      <c r="AB8" s="20">
        <v>34150.61</v>
      </c>
    </row>
    <row r="9" ht="15.75" spans="7:28">
      <c r="G9" s="20">
        <v>9</v>
      </c>
      <c r="H9" s="20" t="s">
        <v>210</v>
      </c>
      <c r="I9" s="22">
        <v>0.0398</v>
      </c>
      <c r="J9" s="20">
        <v>72528.22</v>
      </c>
      <c r="L9" s="20">
        <v>9</v>
      </c>
      <c r="M9" s="20" t="s">
        <v>356</v>
      </c>
      <c r="N9" s="22">
        <v>0.0188</v>
      </c>
      <c r="O9" s="20">
        <v>2003.16</v>
      </c>
      <c r="S9" s="20">
        <v>9</v>
      </c>
      <c r="T9" s="21" t="s">
        <v>255</v>
      </c>
      <c r="U9" s="22">
        <v>0.0385</v>
      </c>
      <c r="V9" s="20">
        <v>14921.71</v>
      </c>
      <c r="Y9" s="20">
        <v>9</v>
      </c>
      <c r="Z9" s="67" t="s">
        <v>237</v>
      </c>
      <c r="AA9" s="22">
        <v>0.0399</v>
      </c>
      <c r="AB9" s="20">
        <v>33439.6</v>
      </c>
    </row>
    <row r="10" ht="15.75" spans="7:28">
      <c r="G10" s="24">
        <v>10</v>
      </c>
      <c r="H10" s="25" t="s">
        <v>213</v>
      </c>
      <c r="I10" s="26">
        <v>0.0394</v>
      </c>
      <c r="J10" s="24">
        <v>71692.78</v>
      </c>
      <c r="L10" s="20">
        <v>10</v>
      </c>
      <c r="M10" s="20" t="s">
        <v>357</v>
      </c>
      <c r="N10" s="22">
        <v>0.0184</v>
      </c>
      <c r="O10" s="20">
        <v>1961.2</v>
      </c>
      <c r="S10" s="20">
        <v>10</v>
      </c>
      <c r="T10" s="20" t="s">
        <v>358</v>
      </c>
      <c r="U10" s="22">
        <v>0.0365</v>
      </c>
      <c r="V10" s="20">
        <v>14139.67</v>
      </c>
      <c r="Y10" s="20">
        <v>10</v>
      </c>
      <c r="Z10" s="20" t="s">
        <v>359</v>
      </c>
      <c r="AA10" s="22">
        <v>0.0331</v>
      </c>
      <c r="AB10" s="20">
        <v>27774.58</v>
      </c>
    </row>
    <row r="11" ht="15.75" spans="1:22">
      <c r="A11" s="30">
        <v>206009</v>
      </c>
      <c r="B11" s="20">
        <v>1</v>
      </c>
      <c r="C11" s="43" t="s">
        <v>355</v>
      </c>
      <c r="D11" s="22">
        <v>0.0627</v>
      </c>
      <c r="E11" s="20">
        <v>68017.99</v>
      </c>
      <c r="F11" s="104" t="s">
        <v>360</v>
      </c>
      <c r="G11" s="20">
        <v>1</v>
      </c>
      <c r="H11" s="43" t="s">
        <v>235</v>
      </c>
      <c r="I11" s="22">
        <v>0.0585</v>
      </c>
      <c r="J11" s="20">
        <v>113474.47</v>
      </c>
      <c r="K11" s="107" t="s">
        <v>143</v>
      </c>
      <c r="L11" s="20">
        <v>1</v>
      </c>
      <c r="M11" s="20" t="s">
        <v>188</v>
      </c>
      <c r="N11" s="22">
        <v>0.0545</v>
      </c>
      <c r="O11" s="20">
        <v>50698.38</v>
      </c>
      <c r="R11" s="71">
        <v>519778</v>
      </c>
      <c r="S11" s="20">
        <v>1</v>
      </c>
      <c r="T11" s="20" t="s">
        <v>311</v>
      </c>
      <c r="U11" s="22">
        <v>0.1025</v>
      </c>
      <c r="V11" s="20">
        <v>66809.94</v>
      </c>
    </row>
    <row r="12" ht="15.75" spans="2:22">
      <c r="B12" s="20">
        <v>2</v>
      </c>
      <c r="C12" s="20" t="s">
        <v>361</v>
      </c>
      <c r="D12" s="22">
        <v>0.0477</v>
      </c>
      <c r="E12" s="20">
        <v>51738.91</v>
      </c>
      <c r="G12" s="20">
        <v>2</v>
      </c>
      <c r="H12" s="68" t="s">
        <v>200</v>
      </c>
      <c r="I12" s="22">
        <v>0.0577</v>
      </c>
      <c r="J12" s="20">
        <v>111948.5</v>
      </c>
      <c r="L12" s="20">
        <v>2</v>
      </c>
      <c r="M12" s="20" t="s">
        <v>191</v>
      </c>
      <c r="N12" s="22">
        <v>0.0544</v>
      </c>
      <c r="O12" s="20">
        <v>50635.24</v>
      </c>
      <c r="S12" s="20">
        <v>2</v>
      </c>
      <c r="T12" s="20" t="s">
        <v>362</v>
      </c>
      <c r="U12" s="22">
        <v>0.0848</v>
      </c>
      <c r="V12" s="20">
        <v>55294.72</v>
      </c>
    </row>
    <row r="13" ht="15.75" spans="2:22">
      <c r="B13" s="20">
        <v>3</v>
      </c>
      <c r="C13" s="20" t="s">
        <v>363</v>
      </c>
      <c r="D13" s="22">
        <v>0.0444</v>
      </c>
      <c r="E13" s="20">
        <v>48160.74</v>
      </c>
      <c r="G13" s="20">
        <v>3</v>
      </c>
      <c r="H13" s="21" t="s">
        <v>213</v>
      </c>
      <c r="I13" s="22">
        <v>0.052</v>
      </c>
      <c r="J13" s="20">
        <v>100759.97</v>
      </c>
      <c r="L13" s="20">
        <v>3</v>
      </c>
      <c r="M13" s="67" t="s">
        <v>194</v>
      </c>
      <c r="N13" s="22">
        <v>0.052</v>
      </c>
      <c r="O13" s="20">
        <v>48383.93</v>
      </c>
      <c r="S13" s="20">
        <v>3</v>
      </c>
      <c r="T13" s="21" t="s">
        <v>230</v>
      </c>
      <c r="U13" s="22">
        <v>0.0678</v>
      </c>
      <c r="V13" s="20">
        <v>44153.88</v>
      </c>
    </row>
    <row r="14" ht="15.75" spans="2:22">
      <c r="B14" s="20">
        <v>4</v>
      </c>
      <c r="C14" s="21" t="s">
        <v>230</v>
      </c>
      <c r="D14" s="22">
        <v>0.0383</v>
      </c>
      <c r="E14" s="20">
        <v>41557.69</v>
      </c>
      <c r="G14" s="20">
        <v>4</v>
      </c>
      <c r="H14" s="20" t="s">
        <v>252</v>
      </c>
      <c r="I14" s="22">
        <v>0.0499</v>
      </c>
      <c r="J14" s="20">
        <v>96705.31</v>
      </c>
      <c r="L14" s="20">
        <v>4</v>
      </c>
      <c r="M14" s="20" t="s">
        <v>196</v>
      </c>
      <c r="N14" s="22">
        <v>0.05</v>
      </c>
      <c r="O14" s="20">
        <v>46478.37</v>
      </c>
      <c r="S14" s="20">
        <v>4</v>
      </c>
      <c r="T14" s="21" t="s">
        <v>242</v>
      </c>
      <c r="U14" s="22">
        <v>0.0422</v>
      </c>
      <c r="V14" s="20">
        <v>27497.7</v>
      </c>
    </row>
    <row r="15" ht="15.75" spans="2:22">
      <c r="B15" s="20">
        <v>5</v>
      </c>
      <c r="C15" s="43" t="s">
        <v>255</v>
      </c>
      <c r="D15" s="22">
        <v>0.0361</v>
      </c>
      <c r="E15" s="20">
        <v>39166.5</v>
      </c>
      <c r="G15" s="20">
        <v>5</v>
      </c>
      <c r="H15" s="20" t="s">
        <v>284</v>
      </c>
      <c r="I15" s="22">
        <v>0.0493</v>
      </c>
      <c r="J15" s="20">
        <v>95644.92</v>
      </c>
      <c r="L15" s="20">
        <v>5</v>
      </c>
      <c r="M15" s="21" t="s">
        <v>199</v>
      </c>
      <c r="N15" s="22">
        <v>0.0463</v>
      </c>
      <c r="O15" s="20">
        <v>43039.48</v>
      </c>
      <c r="S15" s="20">
        <v>5</v>
      </c>
      <c r="T15" s="21" t="s">
        <v>239</v>
      </c>
      <c r="U15" s="22">
        <v>0.0412</v>
      </c>
      <c r="V15" s="20">
        <v>26820.06</v>
      </c>
    </row>
    <row r="16" ht="15.75" spans="2:22">
      <c r="B16" s="24">
        <v>6</v>
      </c>
      <c r="C16" s="24" t="s">
        <v>364</v>
      </c>
      <c r="D16" s="26">
        <v>0.0361</v>
      </c>
      <c r="E16" s="24">
        <v>39166.39</v>
      </c>
      <c r="G16" s="20">
        <v>6</v>
      </c>
      <c r="H16" s="20" t="s">
        <v>192</v>
      </c>
      <c r="I16" s="22">
        <v>0.0408</v>
      </c>
      <c r="J16" s="20">
        <v>79095.92</v>
      </c>
      <c r="L16" s="20">
        <v>6</v>
      </c>
      <c r="M16" s="20" t="s">
        <v>202</v>
      </c>
      <c r="N16" s="22">
        <v>0.0458</v>
      </c>
      <c r="O16" s="20">
        <v>42578.17</v>
      </c>
      <c r="S16" s="20">
        <v>6</v>
      </c>
      <c r="T16" s="20" t="s">
        <v>365</v>
      </c>
      <c r="U16" s="22">
        <v>0.0345</v>
      </c>
      <c r="V16" s="20">
        <v>22459.74</v>
      </c>
    </row>
    <row r="17" ht="15.75" spans="2:22">
      <c r="B17" s="20">
        <v>7</v>
      </c>
      <c r="C17" s="20" t="s">
        <v>366</v>
      </c>
      <c r="D17" s="22">
        <v>0.0306</v>
      </c>
      <c r="E17" s="20">
        <v>33261.57</v>
      </c>
      <c r="G17" s="20">
        <v>7</v>
      </c>
      <c r="H17" s="20" t="s">
        <v>359</v>
      </c>
      <c r="I17" s="22">
        <v>0.0401</v>
      </c>
      <c r="J17" s="20">
        <v>77680.24</v>
      </c>
      <c r="L17" s="20">
        <v>7</v>
      </c>
      <c r="M17" s="20" t="s">
        <v>205</v>
      </c>
      <c r="N17" s="22">
        <v>0.0402</v>
      </c>
      <c r="O17" s="20">
        <v>37415.72</v>
      </c>
      <c r="S17" s="20">
        <v>7</v>
      </c>
      <c r="T17" s="20" t="s">
        <v>276</v>
      </c>
      <c r="U17" s="22">
        <v>0.0313</v>
      </c>
      <c r="V17" s="20">
        <v>20410.79</v>
      </c>
    </row>
    <row r="18" ht="15.75" spans="2:22">
      <c r="B18" s="20">
        <v>8</v>
      </c>
      <c r="C18" s="20" t="s">
        <v>367</v>
      </c>
      <c r="D18" s="22">
        <v>0.0303</v>
      </c>
      <c r="E18" s="20">
        <v>32936.41</v>
      </c>
      <c r="G18" s="20">
        <v>8</v>
      </c>
      <c r="H18" s="20" t="s">
        <v>209</v>
      </c>
      <c r="I18" s="22">
        <v>0.0393</v>
      </c>
      <c r="J18" s="20">
        <v>76139.75</v>
      </c>
      <c r="L18" s="20">
        <v>8</v>
      </c>
      <c r="M18" s="20" t="s">
        <v>208</v>
      </c>
      <c r="N18" s="22">
        <v>0.0336</v>
      </c>
      <c r="O18" s="20">
        <v>31250.98</v>
      </c>
      <c r="S18" s="20">
        <v>8</v>
      </c>
      <c r="T18" s="20" t="s">
        <v>368</v>
      </c>
      <c r="U18" s="22">
        <v>0.0287</v>
      </c>
      <c r="V18" s="20">
        <v>18685.05</v>
      </c>
    </row>
    <row r="19" ht="15.75" spans="2:22">
      <c r="B19" s="20">
        <v>9</v>
      </c>
      <c r="C19" s="20" t="s">
        <v>369</v>
      </c>
      <c r="D19" s="22">
        <v>0.0301</v>
      </c>
      <c r="E19" s="20">
        <v>32638.49</v>
      </c>
      <c r="G19" s="20">
        <v>9</v>
      </c>
      <c r="H19" s="20" t="s">
        <v>370</v>
      </c>
      <c r="I19" s="22">
        <v>0.0364</v>
      </c>
      <c r="J19" s="20">
        <v>70567.93</v>
      </c>
      <c r="L19" s="20">
        <v>9</v>
      </c>
      <c r="M19" s="20" t="s">
        <v>211</v>
      </c>
      <c r="N19" s="22">
        <v>0.0332</v>
      </c>
      <c r="O19" s="20">
        <v>30858.24</v>
      </c>
      <c r="S19" s="20">
        <v>9</v>
      </c>
      <c r="T19" s="21" t="s">
        <v>371</v>
      </c>
      <c r="U19" s="22">
        <v>0.023</v>
      </c>
      <c r="V19" s="20">
        <v>14991.37</v>
      </c>
    </row>
    <row r="20" ht="15.75" spans="2:22">
      <c r="B20" s="20">
        <v>10</v>
      </c>
      <c r="C20" s="20" t="s">
        <v>372</v>
      </c>
      <c r="D20" s="22">
        <v>0.0274</v>
      </c>
      <c r="E20" s="20">
        <v>29774.87</v>
      </c>
      <c r="G20" s="20">
        <v>10</v>
      </c>
      <c r="H20" s="20" t="s">
        <v>373</v>
      </c>
      <c r="I20" s="22">
        <v>0.035</v>
      </c>
      <c r="J20" s="20">
        <v>67920.5</v>
      </c>
      <c r="L20" s="20">
        <v>10</v>
      </c>
      <c r="M20" s="20" t="s">
        <v>214</v>
      </c>
      <c r="N20" s="22">
        <v>0.0329</v>
      </c>
      <c r="O20" s="20">
        <v>30561.27</v>
      </c>
      <c r="S20" s="20">
        <v>10</v>
      </c>
      <c r="T20" s="20" t="s">
        <v>294</v>
      </c>
      <c r="U20" s="22">
        <v>0.022</v>
      </c>
      <c r="V20" s="20">
        <v>14365.6</v>
      </c>
    </row>
    <row r="21" ht="15.75" spans="1:22">
      <c r="A21" s="103" t="s">
        <v>374</v>
      </c>
      <c r="B21" s="20">
        <v>1</v>
      </c>
      <c r="C21" s="20" t="s">
        <v>197</v>
      </c>
      <c r="D21" s="22">
        <v>0.0423</v>
      </c>
      <c r="E21" s="20">
        <v>29122.88</v>
      </c>
      <c r="F21">
        <v>519772</v>
      </c>
      <c r="G21" s="20">
        <v>1</v>
      </c>
      <c r="H21" s="67" t="s">
        <v>217</v>
      </c>
      <c r="I21" s="22">
        <v>0.0802</v>
      </c>
      <c r="J21" s="20">
        <v>88899.9</v>
      </c>
      <c r="K21" s="109" t="s">
        <v>375</v>
      </c>
      <c r="L21" s="20">
        <v>1</v>
      </c>
      <c r="M21" s="21" t="s">
        <v>199</v>
      </c>
      <c r="N21" s="22">
        <v>0.0608</v>
      </c>
      <c r="O21" s="20">
        <v>107060.43</v>
      </c>
      <c r="R21" s="71">
        <v>260108</v>
      </c>
      <c r="S21" s="20">
        <v>1</v>
      </c>
      <c r="T21" s="21" t="s">
        <v>186</v>
      </c>
      <c r="U21" s="22">
        <v>0.0975</v>
      </c>
      <c r="V21" s="20">
        <v>156528.16</v>
      </c>
    </row>
    <row r="22" ht="15.75" spans="2:22">
      <c r="B22" s="20">
        <v>2</v>
      </c>
      <c r="C22" s="20" t="s">
        <v>299</v>
      </c>
      <c r="D22" s="22">
        <v>0.0413</v>
      </c>
      <c r="E22" s="20">
        <v>28486.67</v>
      </c>
      <c r="G22" s="20">
        <v>2</v>
      </c>
      <c r="H22" s="67" t="s">
        <v>234</v>
      </c>
      <c r="I22" s="22">
        <v>0.0656</v>
      </c>
      <c r="J22" s="20">
        <v>72708.02</v>
      </c>
      <c r="L22" s="20">
        <v>2</v>
      </c>
      <c r="M22" s="20" t="s">
        <v>225</v>
      </c>
      <c r="N22" s="22">
        <v>0.0608</v>
      </c>
      <c r="O22" s="20">
        <v>107031.11</v>
      </c>
      <c r="S22" s="20">
        <v>2</v>
      </c>
      <c r="T22" s="21" t="s">
        <v>193</v>
      </c>
      <c r="U22" s="22">
        <v>0.0949</v>
      </c>
      <c r="V22" s="20">
        <v>152296.8</v>
      </c>
    </row>
    <row r="23" ht="15.75" spans="2:22">
      <c r="B23" s="20">
        <v>3</v>
      </c>
      <c r="C23" s="67" t="s">
        <v>194</v>
      </c>
      <c r="D23" s="22">
        <v>0.0372</v>
      </c>
      <c r="E23" s="20">
        <v>25630.96</v>
      </c>
      <c r="G23" s="20">
        <v>3</v>
      </c>
      <c r="H23" s="67" t="s">
        <v>236</v>
      </c>
      <c r="I23" s="22">
        <v>0.0606</v>
      </c>
      <c r="J23" s="20">
        <v>67158.79</v>
      </c>
      <c r="L23" s="20">
        <v>3</v>
      </c>
      <c r="M23" s="20" t="s">
        <v>376</v>
      </c>
      <c r="N23" s="22">
        <v>0.0599</v>
      </c>
      <c r="O23" s="20">
        <v>105482.91</v>
      </c>
      <c r="S23" s="20">
        <v>3</v>
      </c>
      <c r="T23" s="21" t="s">
        <v>240</v>
      </c>
      <c r="U23" s="22">
        <v>0.0883</v>
      </c>
      <c r="V23" s="20">
        <v>141707.6</v>
      </c>
    </row>
    <row r="24" ht="15.75" spans="2:22">
      <c r="B24" s="20">
        <v>4</v>
      </c>
      <c r="C24" s="43" t="s">
        <v>272</v>
      </c>
      <c r="D24" s="22">
        <v>0.0329</v>
      </c>
      <c r="E24" s="20">
        <v>22672.2</v>
      </c>
      <c r="G24" s="20">
        <v>4</v>
      </c>
      <c r="H24" s="67" t="s">
        <v>237</v>
      </c>
      <c r="I24" s="22">
        <v>0.055</v>
      </c>
      <c r="J24" s="20">
        <v>61026.01</v>
      </c>
      <c r="L24" s="20">
        <v>4</v>
      </c>
      <c r="M24" s="21" t="s">
        <v>230</v>
      </c>
      <c r="N24" s="22">
        <v>0.0569</v>
      </c>
      <c r="O24" s="20">
        <v>100126.71</v>
      </c>
      <c r="S24" s="20">
        <v>4</v>
      </c>
      <c r="T24" s="21" t="s">
        <v>198</v>
      </c>
      <c r="U24" s="22">
        <v>0.0738</v>
      </c>
      <c r="V24" s="20">
        <v>118456</v>
      </c>
    </row>
    <row r="25" ht="15.75" spans="2:22">
      <c r="B25" s="20">
        <v>5</v>
      </c>
      <c r="C25" s="67" t="s">
        <v>193</v>
      </c>
      <c r="D25" s="22">
        <v>0.0281</v>
      </c>
      <c r="E25" s="20">
        <v>19389.49</v>
      </c>
      <c r="G25" s="20">
        <v>5</v>
      </c>
      <c r="H25" s="20" t="s">
        <v>238</v>
      </c>
      <c r="I25" s="22">
        <v>0.0496</v>
      </c>
      <c r="J25" s="20">
        <v>54998.7</v>
      </c>
      <c r="L25" s="20">
        <v>5</v>
      </c>
      <c r="M25" s="21" t="s">
        <v>242</v>
      </c>
      <c r="N25" s="22">
        <v>0.0531</v>
      </c>
      <c r="O25" s="20">
        <v>93512.19</v>
      </c>
      <c r="S25" s="20">
        <v>5</v>
      </c>
      <c r="T25" s="21" t="s">
        <v>265</v>
      </c>
      <c r="U25" s="22">
        <v>0.0593</v>
      </c>
      <c r="V25" s="20">
        <v>95179.63</v>
      </c>
    </row>
    <row r="26" ht="15.75" spans="2:22">
      <c r="B26" s="20">
        <v>6</v>
      </c>
      <c r="C26" s="67" t="s">
        <v>217</v>
      </c>
      <c r="D26" s="22">
        <v>0.0262</v>
      </c>
      <c r="E26" s="20">
        <v>18052.14</v>
      </c>
      <c r="G26" s="20">
        <v>6</v>
      </c>
      <c r="H26" s="67" t="s">
        <v>239</v>
      </c>
      <c r="I26" s="22">
        <v>0.0469</v>
      </c>
      <c r="J26" s="20">
        <v>51978.51</v>
      </c>
      <c r="L26" s="20">
        <v>6</v>
      </c>
      <c r="M26" s="20" t="s">
        <v>274</v>
      </c>
      <c r="N26" s="22">
        <v>0.0447</v>
      </c>
      <c r="O26" s="20">
        <v>78630.58</v>
      </c>
      <c r="S26" s="20">
        <v>6</v>
      </c>
      <c r="T26" s="21" t="s">
        <v>235</v>
      </c>
      <c r="U26" s="22">
        <v>0.0545</v>
      </c>
      <c r="V26" s="20">
        <v>87524.47</v>
      </c>
    </row>
    <row r="27" ht="15.75" spans="2:22">
      <c r="B27" s="20">
        <v>7</v>
      </c>
      <c r="C27" s="20" t="s">
        <v>300</v>
      </c>
      <c r="D27" s="22">
        <v>0.026</v>
      </c>
      <c r="E27" s="20">
        <v>17903.32</v>
      </c>
      <c r="G27" s="20">
        <v>7</v>
      </c>
      <c r="H27" s="20" t="s">
        <v>241</v>
      </c>
      <c r="I27" s="22">
        <v>0.0458</v>
      </c>
      <c r="J27" s="20">
        <v>50768.59</v>
      </c>
      <c r="L27" s="20">
        <v>7</v>
      </c>
      <c r="M27" s="20" t="s">
        <v>377</v>
      </c>
      <c r="N27" s="22">
        <v>0.0434</v>
      </c>
      <c r="O27" s="20">
        <v>76402.08</v>
      </c>
      <c r="S27" s="20">
        <v>7</v>
      </c>
      <c r="T27" s="20" t="s">
        <v>378</v>
      </c>
      <c r="U27" s="22">
        <v>0.0505</v>
      </c>
      <c r="V27" s="20">
        <v>81127.95</v>
      </c>
    </row>
    <row r="28" ht="15.75" spans="2:22">
      <c r="B28" s="20">
        <v>8</v>
      </c>
      <c r="C28" s="20" t="s">
        <v>379</v>
      </c>
      <c r="D28" s="22">
        <v>0.0255</v>
      </c>
      <c r="E28" s="20">
        <v>17579.5</v>
      </c>
      <c r="G28" s="20">
        <v>8</v>
      </c>
      <c r="H28" s="67" t="s">
        <v>242</v>
      </c>
      <c r="I28" s="22">
        <v>0.0431</v>
      </c>
      <c r="J28" s="20">
        <v>47840.39</v>
      </c>
      <c r="L28" s="20">
        <v>8</v>
      </c>
      <c r="M28" s="20" t="s">
        <v>380</v>
      </c>
      <c r="N28" s="22">
        <v>0.0429</v>
      </c>
      <c r="O28" s="20">
        <v>75489.14</v>
      </c>
      <c r="S28" s="20">
        <v>8</v>
      </c>
      <c r="T28" s="21" t="s">
        <v>272</v>
      </c>
      <c r="U28" s="22">
        <v>0.0485</v>
      </c>
      <c r="V28" s="20">
        <v>77825</v>
      </c>
    </row>
    <row r="29" ht="15.75" spans="2:22">
      <c r="B29" s="20">
        <v>9</v>
      </c>
      <c r="C29" s="20" t="s">
        <v>208</v>
      </c>
      <c r="D29" s="22">
        <v>0.0245</v>
      </c>
      <c r="E29" s="20">
        <v>16913.44</v>
      </c>
      <c r="G29" s="20">
        <v>9</v>
      </c>
      <c r="H29" s="20" t="s">
        <v>244</v>
      </c>
      <c r="I29" s="22">
        <v>0.0413</v>
      </c>
      <c r="J29" s="20">
        <v>45823.66</v>
      </c>
      <c r="L29" s="20">
        <v>9</v>
      </c>
      <c r="M29" s="20" t="s">
        <v>381</v>
      </c>
      <c r="N29" s="22">
        <v>0.0407</v>
      </c>
      <c r="O29" s="20">
        <v>71602.14</v>
      </c>
      <c r="S29" s="20">
        <v>9</v>
      </c>
      <c r="T29" s="20" t="s">
        <v>256</v>
      </c>
      <c r="U29" s="22">
        <v>0.0484</v>
      </c>
      <c r="V29" s="20">
        <v>77726.72</v>
      </c>
    </row>
    <row r="30" ht="15.75" spans="2:22">
      <c r="B30" s="20">
        <v>10</v>
      </c>
      <c r="C30" s="20" t="s">
        <v>382</v>
      </c>
      <c r="D30" s="22">
        <v>0.0235</v>
      </c>
      <c r="E30" s="20">
        <v>16218.01</v>
      </c>
      <c r="G30" s="20">
        <v>10</v>
      </c>
      <c r="H30" s="20" t="s">
        <v>246</v>
      </c>
      <c r="I30" s="22">
        <v>0.0399</v>
      </c>
      <c r="J30" s="20">
        <v>44283.33</v>
      </c>
      <c r="L30" s="24">
        <v>10</v>
      </c>
      <c r="M30" s="24" t="s">
        <v>383</v>
      </c>
      <c r="N30" s="26">
        <v>0.0404</v>
      </c>
      <c r="O30" s="24">
        <v>71187.67</v>
      </c>
      <c r="S30" s="24">
        <v>10</v>
      </c>
      <c r="T30" s="24" t="s">
        <v>384</v>
      </c>
      <c r="U30" s="26">
        <v>0.0416</v>
      </c>
      <c r="V30" s="24">
        <v>66769.93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B1" sqref="B1:K1"/>
    </sheetView>
  </sheetViews>
  <sheetFormatPr defaultColWidth="9" defaultRowHeight="13.5"/>
  <cols>
    <col min="1" max="1" width="14.125" style="57" customWidth="1"/>
    <col min="2" max="2" width="12.625" style="58"/>
    <col min="3" max="16384" width="9" style="57"/>
  </cols>
  <sheetData>
    <row r="1" ht="14.25" spans="1:11">
      <c r="A1" s="44"/>
      <c r="B1" s="44"/>
      <c r="C1" s="51" t="s">
        <v>385</v>
      </c>
      <c r="D1" s="51" t="s">
        <v>386</v>
      </c>
      <c r="E1" s="51" t="s">
        <v>387</v>
      </c>
      <c r="F1" s="51" t="s">
        <v>388</v>
      </c>
      <c r="G1" s="51" t="s">
        <v>389</v>
      </c>
      <c r="H1" s="51" t="s">
        <v>390</v>
      </c>
      <c r="I1" s="51" t="s">
        <v>391</v>
      </c>
      <c r="J1" s="51" t="s">
        <v>392</v>
      </c>
      <c r="K1" s="51" t="s">
        <v>393</v>
      </c>
    </row>
    <row r="2" ht="15.75" spans="1:11">
      <c r="A2" s="59" t="s">
        <v>394</v>
      </c>
      <c r="B2" s="60">
        <v>110027</v>
      </c>
      <c r="C2" s="61">
        <v>1</v>
      </c>
      <c r="D2" s="61">
        <v>-0.73</v>
      </c>
      <c r="E2" s="61">
        <v>7.35</v>
      </c>
      <c r="F2" s="61">
        <v>9.56</v>
      </c>
      <c r="G2" s="61">
        <v>14.41</v>
      </c>
      <c r="H2" s="61">
        <v>31.62</v>
      </c>
      <c r="I2" s="61">
        <v>22.86</v>
      </c>
      <c r="J2" s="61">
        <v>49.81</v>
      </c>
      <c r="K2" s="61">
        <v>8.75</v>
      </c>
    </row>
    <row r="3" ht="15.75" spans="1:11">
      <c r="A3" s="59"/>
      <c r="B3" s="62"/>
      <c r="C3" s="61"/>
      <c r="D3" s="61"/>
      <c r="E3" s="61"/>
      <c r="F3" s="61"/>
      <c r="G3" s="61"/>
      <c r="H3" s="61"/>
      <c r="I3" s="61"/>
      <c r="J3" s="61"/>
      <c r="K3" s="61"/>
    </row>
    <row r="4" ht="15.75" spans="1:11">
      <c r="A4" s="59" t="s">
        <v>395</v>
      </c>
      <c r="B4" s="63">
        <v>110022</v>
      </c>
      <c r="C4" s="64">
        <v>0.61</v>
      </c>
      <c r="D4" s="64">
        <v>2.38</v>
      </c>
      <c r="E4" s="64">
        <v>27.27</v>
      </c>
      <c r="F4" s="64">
        <v>51.08</v>
      </c>
      <c r="G4" s="61">
        <v>42.64</v>
      </c>
      <c r="H4" s="61">
        <v>113.14</v>
      </c>
      <c r="I4" s="61">
        <v>112.71</v>
      </c>
      <c r="J4" s="64">
        <v>268.87</v>
      </c>
      <c r="K4" s="61">
        <v>35.26</v>
      </c>
    </row>
    <row r="5" ht="15.75" spans="1:11">
      <c r="A5" s="62"/>
      <c r="B5" s="110" t="s">
        <v>396</v>
      </c>
      <c r="C5" s="61">
        <v>-1.01</v>
      </c>
      <c r="D5" s="61">
        <v>-4.85</v>
      </c>
      <c r="E5" s="61">
        <v>5.63</v>
      </c>
      <c r="F5" s="61">
        <v>47.69</v>
      </c>
      <c r="G5" s="61">
        <v>68.1</v>
      </c>
      <c r="H5" s="64">
        <v>153.12</v>
      </c>
      <c r="I5" s="61" t="s">
        <v>397</v>
      </c>
      <c r="J5" s="61" t="s">
        <v>397</v>
      </c>
      <c r="K5" s="64">
        <v>56.05</v>
      </c>
    </row>
    <row r="6" ht="15.75" spans="1:11">
      <c r="A6" s="62"/>
      <c r="B6" s="60" t="s">
        <v>398</v>
      </c>
      <c r="C6" s="46">
        <v>-1.9</v>
      </c>
      <c r="D6" s="46">
        <v>-7.82</v>
      </c>
      <c r="E6" s="46">
        <v>0.33</v>
      </c>
      <c r="F6" s="46">
        <v>49.92</v>
      </c>
      <c r="G6" s="47">
        <v>85.04</v>
      </c>
      <c r="H6" s="61"/>
      <c r="I6" s="61"/>
      <c r="J6" s="61"/>
      <c r="K6" s="47">
        <v>62.96</v>
      </c>
    </row>
    <row r="7" ht="15.75" spans="1:11">
      <c r="A7" s="62"/>
      <c r="B7" s="63"/>
      <c r="C7" s="46"/>
      <c r="D7" s="46"/>
      <c r="E7" s="46"/>
      <c r="F7" s="46"/>
      <c r="G7" s="46"/>
      <c r="H7" s="61"/>
      <c r="I7" s="61"/>
      <c r="J7" s="61"/>
      <c r="K7" s="46"/>
    </row>
    <row r="8" ht="14.25" spans="1:11">
      <c r="A8" s="44" t="s">
        <v>399</v>
      </c>
      <c r="B8" s="111" t="s">
        <v>400</v>
      </c>
      <c r="C8" s="61">
        <v>4.6</v>
      </c>
      <c r="D8" s="61">
        <v>-1.55</v>
      </c>
      <c r="E8" s="61">
        <v>23.1</v>
      </c>
      <c r="F8" s="61">
        <v>54.25</v>
      </c>
      <c r="G8" s="61">
        <v>58.33</v>
      </c>
      <c r="H8" s="61">
        <v>116.23</v>
      </c>
      <c r="I8" s="61">
        <v>111.57</v>
      </c>
      <c r="J8" s="61" t="s">
        <v>397</v>
      </c>
      <c r="K8" s="61">
        <v>43.96</v>
      </c>
    </row>
    <row r="9" ht="14.25" spans="1:11">
      <c r="A9" s="44"/>
      <c r="B9" s="44"/>
      <c r="C9" s="61"/>
      <c r="D9" s="61"/>
      <c r="E9" s="61"/>
      <c r="F9" s="61"/>
      <c r="G9" s="61"/>
      <c r="H9" s="61"/>
      <c r="I9" s="61"/>
      <c r="J9" s="61"/>
      <c r="K9" s="61"/>
    </row>
    <row r="10" ht="14.25" spans="1:11">
      <c r="A10" s="44" t="s">
        <v>401</v>
      </c>
      <c r="B10" s="44">
        <v>450001</v>
      </c>
      <c r="C10" s="64">
        <v>2.04</v>
      </c>
      <c r="D10" s="61">
        <v>-1.12</v>
      </c>
      <c r="E10" s="61">
        <v>20.27</v>
      </c>
      <c r="F10" s="61">
        <v>39.97</v>
      </c>
      <c r="G10" s="61">
        <v>51.63</v>
      </c>
      <c r="H10" s="61">
        <v>96.03</v>
      </c>
      <c r="I10" s="61">
        <v>81.05</v>
      </c>
      <c r="J10" s="64">
        <v>132.5</v>
      </c>
      <c r="K10" s="61">
        <v>42.27</v>
      </c>
    </row>
    <row r="11" ht="14.25" spans="1:11">
      <c r="A11" s="44"/>
      <c r="B11" s="111" t="s">
        <v>402</v>
      </c>
      <c r="C11" s="64">
        <v>2.96</v>
      </c>
      <c r="D11" s="64">
        <v>4.33</v>
      </c>
      <c r="E11" s="64">
        <v>29.03</v>
      </c>
      <c r="F11" s="64">
        <v>61.23</v>
      </c>
      <c r="G11" s="64">
        <v>65.62</v>
      </c>
      <c r="H11" s="64">
        <v>123.28</v>
      </c>
      <c r="I11" s="64">
        <v>116.03</v>
      </c>
      <c r="J11" s="64">
        <v>169.25</v>
      </c>
      <c r="K11" s="64">
        <v>51.98</v>
      </c>
    </row>
    <row r="12" ht="14.25" spans="1:11">
      <c r="A12" s="44"/>
      <c r="B12" s="44"/>
      <c r="C12" s="61"/>
      <c r="D12" s="61"/>
      <c r="E12" s="61"/>
      <c r="F12" s="61"/>
      <c r="G12" s="61"/>
      <c r="H12" s="61"/>
      <c r="I12" s="61"/>
      <c r="J12" s="61"/>
      <c r="K12" s="61"/>
    </row>
    <row r="13" ht="14.25" spans="1:11">
      <c r="A13" s="44" t="s">
        <v>403</v>
      </c>
      <c r="B13" s="111" t="s">
        <v>404</v>
      </c>
      <c r="C13" s="61">
        <v>0.17</v>
      </c>
      <c r="D13" s="61">
        <v>-4.22</v>
      </c>
      <c r="E13" s="61">
        <v>19.09</v>
      </c>
      <c r="F13" s="61">
        <v>61.23</v>
      </c>
      <c r="G13" s="61">
        <v>81.35</v>
      </c>
      <c r="H13" s="61">
        <v>190.96</v>
      </c>
      <c r="I13" s="61">
        <v>169.27</v>
      </c>
      <c r="J13" s="61">
        <v>138.3</v>
      </c>
      <c r="K13" s="61">
        <v>66.53</v>
      </c>
    </row>
    <row r="14" ht="14.25" spans="1:11">
      <c r="A14" s="44"/>
      <c r="B14" s="44"/>
      <c r="C14" s="61"/>
      <c r="D14" s="61"/>
      <c r="E14" s="61"/>
      <c r="F14" s="61"/>
      <c r="G14" s="61"/>
      <c r="H14" s="61"/>
      <c r="I14" s="61"/>
      <c r="J14" s="61"/>
      <c r="K14" s="61"/>
    </row>
    <row r="15" ht="14.25" spans="1:11">
      <c r="A15" s="44" t="s">
        <v>405</v>
      </c>
      <c r="B15" s="112" t="s">
        <v>406</v>
      </c>
      <c r="C15" s="64">
        <v>4.16</v>
      </c>
      <c r="D15" s="64">
        <v>-0.96</v>
      </c>
      <c r="E15" s="64">
        <v>18.69</v>
      </c>
      <c r="F15" s="64">
        <v>39.63</v>
      </c>
      <c r="G15" s="64">
        <v>79.22</v>
      </c>
      <c r="H15" s="61" t="s">
        <v>397</v>
      </c>
      <c r="I15" s="61" t="s">
        <v>397</v>
      </c>
      <c r="J15" s="61" t="s">
        <v>397</v>
      </c>
      <c r="K15" s="64">
        <v>53.26</v>
      </c>
    </row>
    <row r="16" ht="14.25" spans="1:11">
      <c r="A16" s="44"/>
      <c r="B16" s="111" t="s">
        <v>58</v>
      </c>
      <c r="C16" s="64">
        <v>5.8</v>
      </c>
      <c r="D16" s="61">
        <v>-3.88</v>
      </c>
      <c r="E16" s="64">
        <v>16.93</v>
      </c>
      <c r="F16" s="61">
        <v>25.49</v>
      </c>
      <c r="G16" s="64">
        <v>72.04</v>
      </c>
      <c r="H16" s="64">
        <v>176.79</v>
      </c>
      <c r="I16" s="64">
        <v>138.57</v>
      </c>
      <c r="J16" s="64">
        <v>269.95</v>
      </c>
      <c r="K16" s="64">
        <v>49.31</v>
      </c>
    </row>
    <row r="17" ht="14.25" spans="1:11">
      <c r="A17" s="44"/>
      <c r="B17" s="44"/>
      <c r="C17" s="61"/>
      <c r="D17" s="61"/>
      <c r="E17" s="61"/>
      <c r="F17" s="61"/>
      <c r="G17" s="61"/>
      <c r="H17" s="61"/>
      <c r="I17" s="61"/>
      <c r="J17" s="61"/>
      <c r="K17" s="61"/>
    </row>
    <row r="18" ht="14.25" spans="1:11">
      <c r="A18" s="44" t="s">
        <v>407</v>
      </c>
      <c r="B18" s="111" t="s">
        <v>374</v>
      </c>
      <c r="C18" s="64">
        <v>3.79</v>
      </c>
      <c r="D18" s="64">
        <v>0.66</v>
      </c>
      <c r="E18" s="64">
        <v>25.74</v>
      </c>
      <c r="F18" s="64">
        <v>55.68</v>
      </c>
      <c r="G18" s="64">
        <v>71.25</v>
      </c>
      <c r="H18" s="64">
        <v>146.46</v>
      </c>
      <c r="I18" s="64">
        <v>145.72</v>
      </c>
      <c r="J18" s="61" t="s">
        <v>397</v>
      </c>
      <c r="K18" s="61">
        <v>55.68</v>
      </c>
    </row>
    <row r="19" ht="14.25" spans="1:11">
      <c r="A19" s="44"/>
      <c r="B19" s="113" t="s">
        <v>408</v>
      </c>
      <c r="C19" s="64">
        <v>4.39</v>
      </c>
      <c r="D19" s="61">
        <v>-2.25</v>
      </c>
      <c r="E19" s="61">
        <v>13.78</v>
      </c>
      <c r="F19" s="61">
        <v>41.88</v>
      </c>
      <c r="G19" s="64">
        <v>87.58</v>
      </c>
      <c r="H19" s="64">
        <v>142.04</v>
      </c>
      <c r="I19" s="61">
        <v>108.78</v>
      </c>
      <c r="J19" s="64">
        <v>184.39</v>
      </c>
      <c r="K19" s="64">
        <v>64.19</v>
      </c>
    </row>
    <row r="20" ht="14.25" spans="1:11">
      <c r="A20" s="44"/>
      <c r="B20" s="48">
        <v>121005</v>
      </c>
      <c r="C20" s="64">
        <v>4.34</v>
      </c>
      <c r="D20" s="61">
        <v>-4.94</v>
      </c>
      <c r="E20" s="64">
        <v>21.1</v>
      </c>
      <c r="F20" s="64">
        <v>62.93</v>
      </c>
      <c r="G20" s="64">
        <v>94</v>
      </c>
      <c r="H20" s="64">
        <v>150.17</v>
      </c>
      <c r="I20" s="61">
        <v>108.64</v>
      </c>
      <c r="J20" s="61">
        <v>169.56</v>
      </c>
      <c r="K20" s="64">
        <v>70.89</v>
      </c>
    </row>
    <row r="21" ht="14.25" spans="1:11">
      <c r="A21" s="44"/>
      <c r="B21" s="44">
        <v>166006</v>
      </c>
      <c r="C21" s="61">
        <v>2.4</v>
      </c>
      <c r="D21" s="61">
        <v>-0.51</v>
      </c>
      <c r="E21" s="61">
        <v>14.33</v>
      </c>
      <c r="F21" s="61">
        <v>42.56</v>
      </c>
      <c r="G21" s="64">
        <v>69.37</v>
      </c>
      <c r="H21" s="61">
        <v>123.34</v>
      </c>
      <c r="I21" s="61">
        <v>100.61</v>
      </c>
      <c r="J21" s="64">
        <v>196.86</v>
      </c>
      <c r="K21" s="61">
        <v>47.11</v>
      </c>
    </row>
    <row r="22" ht="14.25" spans="1:11">
      <c r="A22" s="44"/>
      <c r="B22" s="111" t="s">
        <v>409</v>
      </c>
      <c r="C22" s="64">
        <v>5.81</v>
      </c>
      <c r="D22" s="64">
        <v>2.41</v>
      </c>
      <c r="E22" s="64">
        <v>36.07</v>
      </c>
      <c r="F22" s="64">
        <v>56.75</v>
      </c>
      <c r="G22" s="64">
        <v>86.47</v>
      </c>
      <c r="H22" s="64">
        <v>194.38</v>
      </c>
      <c r="I22" s="64">
        <v>136.42</v>
      </c>
      <c r="J22" s="61" t="s">
        <v>397</v>
      </c>
      <c r="K22" s="64">
        <v>66.08</v>
      </c>
    </row>
    <row r="23" ht="14.25" spans="1:11">
      <c r="A23" s="44" t="s">
        <v>410</v>
      </c>
      <c r="B23" s="44"/>
      <c r="C23" s="61"/>
      <c r="D23" s="61"/>
      <c r="E23" s="61"/>
      <c r="F23" s="61"/>
      <c r="G23" s="61"/>
      <c r="H23" s="61"/>
      <c r="I23" s="61"/>
      <c r="J23" s="61"/>
      <c r="K23" s="61"/>
    </row>
    <row r="24" ht="14.25" spans="1:11">
      <c r="A24" s="44"/>
      <c r="B24" s="49">
        <v>161606</v>
      </c>
      <c r="C24" s="64">
        <v>4.86</v>
      </c>
      <c r="D24" s="64">
        <v>1.63</v>
      </c>
      <c r="E24" s="64">
        <v>25.69</v>
      </c>
      <c r="F24" s="64">
        <v>57.6</v>
      </c>
      <c r="G24" s="64">
        <v>76.67</v>
      </c>
      <c r="H24" s="64">
        <v>143.52</v>
      </c>
      <c r="I24" s="64">
        <v>144.89</v>
      </c>
      <c r="J24" s="64">
        <v>208.87</v>
      </c>
      <c r="K24" s="61">
        <v>46.47</v>
      </c>
    </row>
    <row r="25" ht="14.25" spans="1:11">
      <c r="A25" s="44"/>
      <c r="B25" s="49" t="s">
        <v>128</v>
      </c>
      <c r="C25" s="64">
        <v>5.33</v>
      </c>
      <c r="D25" s="64">
        <v>2.84</v>
      </c>
      <c r="E25" s="64">
        <v>23.88</v>
      </c>
      <c r="F25" s="64">
        <v>52.74</v>
      </c>
      <c r="G25" s="61">
        <v>59.53</v>
      </c>
      <c r="H25" s="64">
        <v>137.98</v>
      </c>
      <c r="I25" s="64">
        <v>117.16</v>
      </c>
      <c r="J25" s="64" t="s">
        <v>411</v>
      </c>
      <c r="K25" s="61">
        <v>50.93</v>
      </c>
    </row>
    <row r="26" ht="14.25" spans="1:11">
      <c r="A26" s="44"/>
      <c r="B26" s="113" t="s">
        <v>412</v>
      </c>
      <c r="C26" s="61">
        <v>2.5</v>
      </c>
      <c r="D26" s="61">
        <v>-0.9</v>
      </c>
      <c r="E26" s="61">
        <v>19.81</v>
      </c>
      <c r="F26" s="64">
        <v>61.35</v>
      </c>
      <c r="G26" s="64">
        <v>74.72</v>
      </c>
      <c r="H26" s="64">
        <v>142.55</v>
      </c>
      <c r="I26" s="61" t="s">
        <v>397</v>
      </c>
      <c r="J26" s="61" t="s">
        <v>397</v>
      </c>
      <c r="K26" s="64">
        <v>57.31</v>
      </c>
    </row>
    <row r="27" ht="14.25" spans="1:11">
      <c r="A27" s="44"/>
      <c r="B27" s="113" t="s">
        <v>413</v>
      </c>
      <c r="C27" s="61">
        <v>1.86</v>
      </c>
      <c r="D27" s="61">
        <v>-4.01</v>
      </c>
      <c r="E27" s="61">
        <v>17.95</v>
      </c>
      <c r="F27" s="61">
        <v>45.91</v>
      </c>
      <c r="G27" s="64">
        <v>81.8</v>
      </c>
      <c r="H27" s="61" t="s">
        <v>397</v>
      </c>
      <c r="I27" s="61" t="s">
        <v>397</v>
      </c>
      <c r="J27" s="61" t="s">
        <v>397</v>
      </c>
      <c r="K27" s="64">
        <v>56.38</v>
      </c>
    </row>
    <row r="28" ht="14.25" spans="1:11">
      <c r="A28" s="44"/>
      <c r="B28" s="44">
        <v>180031</v>
      </c>
      <c r="C28" s="64">
        <v>3.82</v>
      </c>
      <c r="D28" s="64">
        <v>-0.14</v>
      </c>
      <c r="E28" s="64">
        <v>19.98</v>
      </c>
      <c r="F28" s="61">
        <v>48.82</v>
      </c>
      <c r="G28" s="61">
        <v>59.32</v>
      </c>
      <c r="H28" s="61">
        <v>128.92</v>
      </c>
      <c r="I28" s="61">
        <v>91.25</v>
      </c>
      <c r="J28" s="64">
        <v>211.38</v>
      </c>
      <c r="K28" s="61">
        <v>42.39</v>
      </c>
    </row>
    <row r="29" ht="14.25" spans="1:11">
      <c r="A29" s="44"/>
      <c r="B29" s="44"/>
      <c r="C29" s="61"/>
      <c r="D29" s="61"/>
      <c r="E29" s="61"/>
      <c r="F29" s="61"/>
      <c r="G29" s="61"/>
      <c r="H29" s="61"/>
      <c r="I29" s="61"/>
      <c r="J29" s="61"/>
      <c r="K29" s="61"/>
    </row>
    <row r="30" ht="14.25" spans="1:12">
      <c r="A30" s="44" t="s">
        <v>414</v>
      </c>
      <c r="B30" s="44">
        <v>110011</v>
      </c>
      <c r="C30" s="64">
        <v>0.13</v>
      </c>
      <c r="D30" s="64">
        <v>0.33</v>
      </c>
      <c r="E30" s="61">
        <v>23.51</v>
      </c>
      <c r="F30" s="64">
        <v>55.19</v>
      </c>
      <c r="G30" s="61">
        <v>52.55</v>
      </c>
      <c r="H30" s="61">
        <v>121.65</v>
      </c>
      <c r="I30" s="64">
        <v>134.62</v>
      </c>
      <c r="J30" s="64">
        <v>270.49</v>
      </c>
      <c r="K30" s="61">
        <v>43.87</v>
      </c>
      <c r="L30" s="57" t="s">
        <v>415</v>
      </c>
    </row>
    <row r="31" ht="14.25" spans="1:12">
      <c r="A31" s="44"/>
      <c r="B31" s="49">
        <v>260108</v>
      </c>
      <c r="C31" s="61">
        <v>-0.12</v>
      </c>
      <c r="D31" s="64">
        <v>0.78</v>
      </c>
      <c r="E31" s="64">
        <v>29.6</v>
      </c>
      <c r="F31" s="64">
        <v>58.51</v>
      </c>
      <c r="G31" s="64">
        <v>55.47</v>
      </c>
      <c r="H31" s="64">
        <v>146.89</v>
      </c>
      <c r="I31" s="64">
        <v>157.97</v>
      </c>
      <c r="J31" s="64">
        <v>268.71</v>
      </c>
      <c r="K31" s="64">
        <v>46.04</v>
      </c>
      <c r="L31" s="57" t="s">
        <v>416</v>
      </c>
    </row>
    <row r="32" ht="14.25" spans="1:12">
      <c r="A32" s="44"/>
      <c r="B32" s="113" t="s">
        <v>417</v>
      </c>
      <c r="C32" s="61">
        <v>-0.9</v>
      </c>
      <c r="D32" s="61">
        <v>0.24</v>
      </c>
      <c r="E32" s="61">
        <v>19.7</v>
      </c>
      <c r="F32" s="64">
        <v>58.33</v>
      </c>
      <c r="G32" s="64">
        <v>60.94</v>
      </c>
      <c r="H32" s="64">
        <v>137.95</v>
      </c>
      <c r="I32" s="64">
        <v>124.27</v>
      </c>
      <c r="J32" s="61">
        <v>179.21</v>
      </c>
      <c r="K32" s="64">
        <v>46.19</v>
      </c>
      <c r="L32" s="57" t="s">
        <v>415</v>
      </c>
    </row>
    <row r="33" ht="14.25" spans="1:12">
      <c r="A33" s="44"/>
      <c r="B33" s="44">
        <v>519672</v>
      </c>
      <c r="C33" s="64">
        <v>3.78</v>
      </c>
      <c r="D33" s="61">
        <v>-4.48</v>
      </c>
      <c r="E33" s="64">
        <v>24.24</v>
      </c>
      <c r="F33" s="61">
        <v>36.91</v>
      </c>
      <c r="G33" s="64">
        <v>69.4</v>
      </c>
      <c r="H33" s="64">
        <v>133.39</v>
      </c>
      <c r="I33" s="61">
        <v>89.86</v>
      </c>
      <c r="J33" s="61">
        <v>218.3</v>
      </c>
      <c r="K33" s="64">
        <v>48.06</v>
      </c>
      <c r="L33" s="57" t="s">
        <v>415</v>
      </c>
    </row>
    <row r="34" ht="14.25" spans="1:12">
      <c r="A34" s="44"/>
      <c r="B34" s="49">
        <v>690007</v>
      </c>
      <c r="C34" s="64">
        <v>3</v>
      </c>
      <c r="D34" s="64">
        <v>1.25</v>
      </c>
      <c r="E34" s="64">
        <v>27.25</v>
      </c>
      <c r="F34" s="61">
        <v>48.64</v>
      </c>
      <c r="G34" s="61">
        <v>52.29</v>
      </c>
      <c r="H34" s="61">
        <v>113.53</v>
      </c>
      <c r="I34" s="61">
        <v>89.5</v>
      </c>
      <c r="J34" s="64">
        <v>236.23</v>
      </c>
      <c r="K34" s="61">
        <v>40.56</v>
      </c>
      <c r="L34" s="57" t="s">
        <v>51</v>
      </c>
    </row>
    <row r="35" s="57" customFormat="1" ht="14.25" spans="1:11">
      <c r="A35" s="44"/>
      <c r="B35" s="113" t="s">
        <v>375</v>
      </c>
      <c r="C35" s="61">
        <v>2.49</v>
      </c>
      <c r="D35" s="61">
        <v>-2.7</v>
      </c>
      <c r="E35" s="61">
        <v>21.75</v>
      </c>
      <c r="F35" s="61">
        <v>57.56</v>
      </c>
      <c r="G35" s="61">
        <v>68.67</v>
      </c>
      <c r="H35" s="61" t="s">
        <v>397</v>
      </c>
      <c r="I35" s="61" t="s">
        <v>397</v>
      </c>
      <c r="J35" s="61" t="s">
        <v>397</v>
      </c>
      <c r="K35" s="61">
        <v>55.22</v>
      </c>
    </row>
    <row r="36" spans="3:3">
      <c r="C36" s="65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23" sqref="A23"/>
    </sheetView>
  </sheetViews>
  <sheetFormatPr defaultColWidth="9" defaultRowHeight="13.5"/>
  <cols>
    <col min="1" max="16384" width="9" style="50"/>
  </cols>
  <sheetData>
    <row r="1" ht="14.25" spans="1:10">
      <c r="A1" s="44"/>
      <c r="B1" s="51" t="s">
        <v>385</v>
      </c>
      <c r="C1" s="51" t="s">
        <v>386</v>
      </c>
      <c r="D1" s="51" t="s">
        <v>387</v>
      </c>
      <c r="E1" s="51" t="s">
        <v>388</v>
      </c>
      <c r="F1" s="51" t="s">
        <v>389</v>
      </c>
      <c r="G1" s="51" t="s">
        <v>390</v>
      </c>
      <c r="H1" s="51" t="s">
        <v>391</v>
      </c>
      <c r="I1" s="51" t="s">
        <v>392</v>
      </c>
      <c r="J1" s="51" t="s">
        <v>393</v>
      </c>
    </row>
    <row r="2" spans="1:11">
      <c r="A2" s="52" t="s">
        <v>398</v>
      </c>
      <c r="B2" s="53">
        <v>-1.9</v>
      </c>
      <c r="C2" s="53">
        <v>-7.82</v>
      </c>
      <c r="D2" s="53">
        <v>0.33</v>
      </c>
      <c r="E2" s="53">
        <v>49.92</v>
      </c>
      <c r="F2" s="54">
        <v>85.04</v>
      </c>
      <c r="G2" s="52"/>
      <c r="H2" s="52"/>
      <c r="I2" s="52"/>
      <c r="J2" s="54">
        <v>62.96</v>
      </c>
      <c r="K2" s="50">
        <v>2</v>
      </c>
    </row>
    <row r="3" spans="1:11">
      <c r="A3" s="113" t="s">
        <v>58</v>
      </c>
      <c r="B3" s="55">
        <v>5.8</v>
      </c>
      <c r="C3" s="52">
        <v>-3.88</v>
      </c>
      <c r="D3" s="52">
        <v>16.93</v>
      </c>
      <c r="E3" s="52">
        <v>25.49</v>
      </c>
      <c r="F3" s="52">
        <v>72.04</v>
      </c>
      <c r="G3" s="55">
        <v>176.79</v>
      </c>
      <c r="H3" s="52">
        <v>138.57</v>
      </c>
      <c r="I3" s="52">
        <v>269.95</v>
      </c>
      <c r="J3" s="52">
        <v>49.31</v>
      </c>
      <c r="K3" s="50">
        <v>2</v>
      </c>
    </row>
    <row r="4" spans="1:11">
      <c r="A4" s="52">
        <v>110022</v>
      </c>
      <c r="B4" s="52">
        <v>0.61</v>
      </c>
      <c r="C4" s="52">
        <v>2.38</v>
      </c>
      <c r="D4" s="52">
        <v>27.27</v>
      </c>
      <c r="E4" s="52">
        <v>51.08</v>
      </c>
      <c r="F4" s="52">
        <v>42.64</v>
      </c>
      <c r="G4" s="52">
        <v>113.14</v>
      </c>
      <c r="H4" s="52">
        <v>112.71</v>
      </c>
      <c r="I4" s="52">
        <v>268.87</v>
      </c>
      <c r="J4" s="52">
        <v>35.26</v>
      </c>
      <c r="K4" s="50">
        <v>0</v>
      </c>
    </row>
    <row r="5" spans="1:11">
      <c r="A5" s="112" t="s">
        <v>402</v>
      </c>
      <c r="B5" s="52">
        <v>2.96</v>
      </c>
      <c r="C5" s="55">
        <v>4.33</v>
      </c>
      <c r="D5" s="55">
        <v>29.03</v>
      </c>
      <c r="E5" s="55">
        <v>61.23</v>
      </c>
      <c r="F5" s="52">
        <v>65.62</v>
      </c>
      <c r="G5" s="52">
        <v>123.28</v>
      </c>
      <c r="H5" s="52">
        <v>116.03</v>
      </c>
      <c r="I5" s="52">
        <v>169.25</v>
      </c>
      <c r="J5" s="52">
        <v>51.98</v>
      </c>
      <c r="K5" s="50">
        <v>3</v>
      </c>
    </row>
    <row r="6" spans="1:11">
      <c r="A6" s="112" t="s">
        <v>404</v>
      </c>
      <c r="B6" s="52">
        <v>0.17</v>
      </c>
      <c r="C6" s="52">
        <v>-4.22</v>
      </c>
      <c r="D6" s="52">
        <v>19.09</v>
      </c>
      <c r="E6" s="55">
        <v>61.23</v>
      </c>
      <c r="F6" s="55">
        <v>81.35</v>
      </c>
      <c r="G6" s="55">
        <v>190.96</v>
      </c>
      <c r="H6" s="55">
        <v>169.27</v>
      </c>
      <c r="I6" s="52">
        <v>138.3</v>
      </c>
      <c r="J6" s="55">
        <v>66.53</v>
      </c>
      <c r="K6" s="50">
        <v>5</v>
      </c>
    </row>
    <row r="7" s="27" customFormat="1" ht="15" spans="1:7">
      <c r="A7" s="114" t="s">
        <v>135</v>
      </c>
      <c r="B7" s="29">
        <v>1.44</v>
      </c>
      <c r="C7" s="29">
        <v>2.23</v>
      </c>
      <c r="D7" s="28">
        <v>27.02</v>
      </c>
      <c r="E7" s="28">
        <v>65.25</v>
      </c>
      <c r="F7" s="29">
        <v>62.2</v>
      </c>
      <c r="G7" s="29">
        <v>54.36</v>
      </c>
    </row>
    <row r="8" spans="1:11">
      <c r="A8" s="112" t="s">
        <v>409</v>
      </c>
      <c r="B8" s="55">
        <v>5.81</v>
      </c>
      <c r="C8" s="55">
        <v>2.41</v>
      </c>
      <c r="D8" s="55">
        <v>36.07</v>
      </c>
      <c r="E8" s="52">
        <v>56.75</v>
      </c>
      <c r="F8" s="55">
        <v>86.47</v>
      </c>
      <c r="G8" s="55">
        <v>194.38</v>
      </c>
      <c r="H8" s="52">
        <v>136.42</v>
      </c>
      <c r="I8" s="52" t="s">
        <v>397</v>
      </c>
      <c r="J8" s="55">
        <v>66.08</v>
      </c>
      <c r="K8" s="50">
        <v>6</v>
      </c>
    </row>
    <row r="9" spans="1:11">
      <c r="A9" s="44">
        <v>161606</v>
      </c>
      <c r="B9" s="52">
        <v>4.86</v>
      </c>
      <c r="C9" s="52">
        <v>1.63</v>
      </c>
      <c r="D9" s="52">
        <v>25.69</v>
      </c>
      <c r="E9" s="52">
        <v>57.6</v>
      </c>
      <c r="F9" s="52">
        <v>76.67</v>
      </c>
      <c r="G9" s="52">
        <v>143.52</v>
      </c>
      <c r="H9" s="55">
        <v>144.89</v>
      </c>
      <c r="I9" s="52">
        <v>208.87</v>
      </c>
      <c r="J9" s="52">
        <v>46.47</v>
      </c>
      <c r="K9" s="50">
        <v>1</v>
      </c>
    </row>
    <row r="10" spans="1:11">
      <c r="A10" s="44" t="s">
        <v>128</v>
      </c>
      <c r="B10" s="55">
        <v>5.33</v>
      </c>
      <c r="C10" s="55">
        <v>2.84</v>
      </c>
      <c r="D10" s="52">
        <v>23.88</v>
      </c>
      <c r="E10" s="52">
        <v>52.74</v>
      </c>
      <c r="F10" s="52">
        <v>59.53</v>
      </c>
      <c r="G10" s="52">
        <v>137.98</v>
      </c>
      <c r="H10" s="52">
        <v>117.16</v>
      </c>
      <c r="I10" s="52" t="s">
        <v>411</v>
      </c>
      <c r="J10" s="52">
        <v>50.93</v>
      </c>
      <c r="K10" s="50">
        <v>2</v>
      </c>
    </row>
    <row r="11" spans="1:11">
      <c r="A11" s="44">
        <v>690007</v>
      </c>
      <c r="B11" s="52">
        <v>3</v>
      </c>
      <c r="C11" s="55">
        <v>1.25</v>
      </c>
      <c r="D11" s="55">
        <v>27.25</v>
      </c>
      <c r="E11" s="52">
        <v>48.64</v>
      </c>
      <c r="F11" s="52">
        <v>52.29</v>
      </c>
      <c r="G11" s="52">
        <v>113.53</v>
      </c>
      <c r="H11" s="52">
        <v>89.5</v>
      </c>
      <c r="I11" s="52">
        <v>236.23</v>
      </c>
      <c r="J11" s="52">
        <v>40.56</v>
      </c>
      <c r="K11" s="50">
        <v>0.2</v>
      </c>
    </row>
    <row r="12" spans="1:11">
      <c r="A12" s="113" t="s">
        <v>400</v>
      </c>
      <c r="B12" s="55">
        <v>4.6</v>
      </c>
      <c r="C12" s="52">
        <v>-1.55</v>
      </c>
      <c r="D12" s="52">
        <v>23.1</v>
      </c>
      <c r="E12" s="55">
        <v>54.25</v>
      </c>
      <c r="F12" s="55">
        <v>58.33</v>
      </c>
      <c r="G12" s="55">
        <v>116.23</v>
      </c>
      <c r="H12" s="55">
        <v>111.57</v>
      </c>
      <c r="I12" s="52" t="s">
        <v>397</v>
      </c>
      <c r="J12" s="55">
        <v>43.96</v>
      </c>
      <c r="K12" s="50">
        <v>0.6</v>
      </c>
    </row>
    <row r="16" spans="1:1">
      <c r="A16" s="112" t="s">
        <v>402</v>
      </c>
    </row>
    <row r="17" spans="1:1">
      <c r="A17" s="112" t="s">
        <v>404</v>
      </c>
    </row>
    <row r="18" spans="1:1">
      <c r="A18" s="114" t="s">
        <v>135</v>
      </c>
    </row>
    <row r="19" spans="1:1">
      <c r="A19" s="112" t="s">
        <v>409</v>
      </c>
    </row>
    <row r="20" spans="1:1">
      <c r="A20" s="52" t="s">
        <v>398</v>
      </c>
    </row>
    <row r="21" spans="1:1">
      <c r="A21" s="113" t="s">
        <v>58</v>
      </c>
    </row>
    <row r="22" spans="1:1">
      <c r="A22" s="52">
        <v>110022</v>
      </c>
    </row>
    <row r="23" spans="1:1">
      <c r="A23" s="44">
        <v>161606</v>
      </c>
    </row>
    <row r="24" spans="1:1">
      <c r="A24" s="44" t="s">
        <v>128</v>
      </c>
    </row>
    <row r="25" spans="1:1">
      <c r="A25" s="44">
        <v>690007</v>
      </c>
    </row>
    <row r="26" spans="1:1">
      <c r="A26" s="113" t="s">
        <v>400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B1" sqref="B1:J1"/>
    </sheetView>
  </sheetViews>
  <sheetFormatPr defaultColWidth="9" defaultRowHeight="13.5"/>
  <cols>
    <col min="1" max="16384" width="9" style="44"/>
  </cols>
  <sheetData>
    <row r="1" ht="14.25" spans="2:10">
      <c r="B1" s="45" t="s">
        <v>393</v>
      </c>
      <c r="C1" s="45" t="s">
        <v>385</v>
      </c>
      <c r="D1" s="45" t="s">
        <v>386</v>
      </c>
      <c r="E1" s="45" t="s">
        <v>387</v>
      </c>
      <c r="F1" s="45" t="s">
        <v>388</v>
      </c>
      <c r="G1" s="45" t="s">
        <v>389</v>
      </c>
      <c r="H1" s="45" t="s">
        <v>390</v>
      </c>
      <c r="I1" s="45" t="s">
        <v>391</v>
      </c>
      <c r="J1" s="45" t="s">
        <v>392</v>
      </c>
    </row>
    <row r="2" ht="14.25" spans="1:11">
      <c r="A2" s="44">
        <v>163406</v>
      </c>
      <c r="B2" s="46">
        <v>50.93</v>
      </c>
      <c r="C2" s="47">
        <v>5.33</v>
      </c>
      <c r="D2" s="46">
        <v>2.84</v>
      </c>
      <c r="E2" s="46">
        <v>23.88</v>
      </c>
      <c r="F2" s="46">
        <v>52.74</v>
      </c>
      <c r="G2" s="46">
        <v>59.53</v>
      </c>
      <c r="H2" s="46">
        <v>137.98</v>
      </c>
      <c r="I2" s="46">
        <v>117.16</v>
      </c>
      <c r="J2" s="46">
        <v>204.27</v>
      </c>
      <c r="K2" s="44" t="s">
        <v>21</v>
      </c>
    </row>
    <row r="3" ht="14.25" spans="1:11">
      <c r="A3" s="48">
        <v>570001</v>
      </c>
      <c r="B3" s="47">
        <v>82.56</v>
      </c>
      <c r="C3" s="46">
        <v>4.17</v>
      </c>
      <c r="D3" s="47">
        <v>3.55</v>
      </c>
      <c r="E3" s="47">
        <v>37.28</v>
      </c>
      <c r="F3" s="47">
        <v>83.94</v>
      </c>
      <c r="G3" s="47">
        <v>87.96</v>
      </c>
      <c r="H3" s="46">
        <v>125.15</v>
      </c>
      <c r="I3" s="46">
        <v>102.52</v>
      </c>
      <c r="J3" s="46">
        <v>191.87</v>
      </c>
      <c r="K3" s="44" t="s">
        <v>51</v>
      </c>
    </row>
    <row r="4" ht="14.25" spans="1:11">
      <c r="A4" s="48">
        <v>163415</v>
      </c>
      <c r="B4" s="46">
        <v>51.17</v>
      </c>
      <c r="C4" s="46">
        <v>3.94</v>
      </c>
      <c r="D4" s="46">
        <v>-1.02</v>
      </c>
      <c r="E4" s="46">
        <v>23.46</v>
      </c>
      <c r="F4" s="46">
        <v>48.92</v>
      </c>
      <c r="G4" s="46">
        <v>62.75</v>
      </c>
      <c r="H4" s="47">
        <v>144</v>
      </c>
      <c r="I4" s="47">
        <v>146</v>
      </c>
      <c r="J4" s="47">
        <v>213.07</v>
      </c>
      <c r="K4" s="44" t="s">
        <v>116</v>
      </c>
    </row>
    <row r="5" ht="15" customHeight="1"/>
    <row r="6" s="44" customFormat="1" ht="14.25" spans="1:11">
      <c r="A6" s="48">
        <v>570001</v>
      </c>
      <c r="B6" s="47">
        <v>82.56</v>
      </c>
      <c r="C6" s="46">
        <v>4.17</v>
      </c>
      <c r="D6" s="47">
        <v>3.55</v>
      </c>
      <c r="E6" s="47">
        <v>37.28</v>
      </c>
      <c r="F6" s="47">
        <v>83.94</v>
      </c>
      <c r="G6" s="47">
        <v>87.96</v>
      </c>
      <c r="H6" s="46">
        <v>125.15</v>
      </c>
      <c r="I6" s="46">
        <v>102.52</v>
      </c>
      <c r="J6" s="46">
        <v>191.87</v>
      </c>
      <c r="K6" s="44" t="s">
        <v>51</v>
      </c>
    </row>
    <row r="7" ht="14.25" spans="1:11">
      <c r="A7" s="48" t="s">
        <v>154</v>
      </c>
      <c r="B7" s="46">
        <v>46.47</v>
      </c>
      <c r="C7" s="47">
        <v>4.86</v>
      </c>
      <c r="D7" s="46">
        <v>1.63</v>
      </c>
      <c r="E7" s="46">
        <v>25.69</v>
      </c>
      <c r="F7" s="46">
        <v>57.6</v>
      </c>
      <c r="G7" s="46">
        <v>76.67</v>
      </c>
      <c r="H7" s="47">
        <v>143.52</v>
      </c>
      <c r="I7" s="47">
        <v>144.89</v>
      </c>
      <c r="J7" s="47">
        <v>208.87</v>
      </c>
      <c r="K7" s="44" t="s">
        <v>51</v>
      </c>
    </row>
    <row r="9" ht="14.25" spans="1:11">
      <c r="A9" s="48">
        <v>163415</v>
      </c>
      <c r="B9" s="46">
        <v>51.17</v>
      </c>
      <c r="C9" s="46">
        <v>3.94</v>
      </c>
      <c r="D9" s="46">
        <v>-1.02</v>
      </c>
      <c r="E9" s="46">
        <v>23.46</v>
      </c>
      <c r="F9" s="46">
        <v>48.92</v>
      </c>
      <c r="G9" s="46">
        <v>62.75</v>
      </c>
      <c r="H9" s="47">
        <v>144</v>
      </c>
      <c r="I9" s="47">
        <v>146</v>
      </c>
      <c r="J9" s="47">
        <v>213.07</v>
      </c>
      <c r="K9" s="44" t="s">
        <v>116</v>
      </c>
    </row>
    <row r="10" ht="14.25" spans="1:11">
      <c r="A10" s="44" t="s">
        <v>402</v>
      </c>
      <c r="B10" s="46">
        <v>51.98</v>
      </c>
      <c r="C10" s="46">
        <v>2.96</v>
      </c>
      <c r="D10" s="47">
        <v>4.33</v>
      </c>
      <c r="E10" s="46">
        <v>29.03</v>
      </c>
      <c r="F10" s="46">
        <v>61.23</v>
      </c>
      <c r="G10" s="46">
        <v>65.62</v>
      </c>
      <c r="H10" s="46">
        <v>123.28</v>
      </c>
      <c r="I10" s="46">
        <v>116.03</v>
      </c>
      <c r="J10" s="46">
        <v>169.25</v>
      </c>
      <c r="K10" s="44" t="s">
        <v>21</v>
      </c>
    </row>
    <row r="11" s="44" customFormat="1" ht="14.25" spans="1:11">
      <c r="A11" s="48">
        <v>570001</v>
      </c>
      <c r="B11" s="47">
        <v>82.56</v>
      </c>
      <c r="C11" s="47">
        <v>4.17</v>
      </c>
      <c r="D11" s="46">
        <v>3.55</v>
      </c>
      <c r="E11" s="47">
        <v>37.28</v>
      </c>
      <c r="F11" s="47">
        <v>83.94</v>
      </c>
      <c r="G11" s="47">
        <v>87.96</v>
      </c>
      <c r="H11" s="46">
        <v>125.15</v>
      </c>
      <c r="I11" s="46">
        <v>102.52</v>
      </c>
      <c r="J11" s="46">
        <v>191.87</v>
      </c>
      <c r="K11" s="44" t="s">
        <v>51</v>
      </c>
    </row>
    <row r="13" ht="14.25" spans="1:11">
      <c r="A13" s="49" t="s">
        <v>327</v>
      </c>
      <c r="B13" s="47">
        <v>85.79</v>
      </c>
      <c r="C13" s="47">
        <v>11.03</v>
      </c>
      <c r="D13" s="47">
        <v>7.23</v>
      </c>
      <c r="E13" s="47">
        <v>39.63</v>
      </c>
      <c r="F13" s="46">
        <v>69.78</v>
      </c>
      <c r="G13" s="47">
        <v>98.63</v>
      </c>
      <c r="H13" s="47">
        <v>166.83</v>
      </c>
      <c r="I13" s="47">
        <v>144.59</v>
      </c>
      <c r="J13" s="47">
        <v>257.38</v>
      </c>
      <c r="K13" s="44" t="s">
        <v>418</v>
      </c>
    </row>
    <row r="14" s="44" customFormat="1" ht="14.25" spans="1:11">
      <c r="A14" s="44">
        <v>163406</v>
      </c>
      <c r="B14" s="46">
        <v>50.93</v>
      </c>
      <c r="C14" s="46">
        <v>5.33</v>
      </c>
      <c r="D14" s="46">
        <v>2.84</v>
      </c>
      <c r="E14" s="46">
        <v>23.88</v>
      </c>
      <c r="F14" s="46">
        <v>52.74</v>
      </c>
      <c r="G14" s="46">
        <v>59.53</v>
      </c>
      <c r="H14" s="46">
        <v>137.98</v>
      </c>
      <c r="I14" s="46">
        <v>117.16</v>
      </c>
      <c r="J14" s="46">
        <v>204.27</v>
      </c>
      <c r="K14" s="44" t="s">
        <v>419</v>
      </c>
    </row>
    <row r="15" s="44" customFormat="1" ht="14.25" spans="1:11">
      <c r="A15" s="44" t="s">
        <v>154</v>
      </c>
      <c r="B15" s="46">
        <v>46.47</v>
      </c>
      <c r="C15" s="46">
        <v>4.86</v>
      </c>
      <c r="D15" s="46">
        <v>1.63</v>
      </c>
      <c r="E15" s="46">
        <v>25.69</v>
      </c>
      <c r="F15" s="46">
        <v>57.6</v>
      </c>
      <c r="G15" s="46">
        <v>76.67</v>
      </c>
      <c r="H15" s="46">
        <v>143.52</v>
      </c>
      <c r="I15" s="47">
        <v>144.89</v>
      </c>
      <c r="J15" s="46">
        <v>208.87</v>
      </c>
      <c r="K15" s="44" t="s">
        <v>21</v>
      </c>
    </row>
    <row r="16" s="44" customFormat="1" ht="14.25" spans="1:11">
      <c r="A16" s="44">
        <v>570001</v>
      </c>
      <c r="B16" s="47">
        <v>82.56</v>
      </c>
      <c r="C16" s="46">
        <v>4.17</v>
      </c>
      <c r="D16" s="46">
        <v>3.55</v>
      </c>
      <c r="E16" s="47">
        <v>37.28</v>
      </c>
      <c r="F16" s="47">
        <v>83.94</v>
      </c>
      <c r="G16" s="46">
        <v>87.96</v>
      </c>
      <c r="H16" s="46">
        <v>125.15</v>
      </c>
      <c r="I16" s="46">
        <v>102.52</v>
      </c>
      <c r="J16" s="46">
        <v>191.87</v>
      </c>
      <c r="K16" s="44" t="s">
        <v>29</v>
      </c>
    </row>
    <row r="18" ht="14.25" spans="1:8">
      <c r="A18" s="113" t="s">
        <v>130</v>
      </c>
      <c r="B18" s="47">
        <v>52.98</v>
      </c>
      <c r="C18" s="46">
        <v>0.18</v>
      </c>
      <c r="D18" s="46">
        <v>0.64</v>
      </c>
      <c r="E18" s="46">
        <v>19.94</v>
      </c>
      <c r="F18" s="46">
        <v>62.98</v>
      </c>
      <c r="G18" s="46">
        <v>60.44</v>
      </c>
      <c r="H18" s="46">
        <v>125.08</v>
      </c>
    </row>
    <row r="19" ht="14.25" spans="1:11">
      <c r="A19" s="49" t="s">
        <v>135</v>
      </c>
      <c r="B19" s="47">
        <v>54.36</v>
      </c>
      <c r="C19" s="47">
        <v>1.44</v>
      </c>
      <c r="D19" s="47">
        <v>2.23</v>
      </c>
      <c r="E19" s="47">
        <v>27.02</v>
      </c>
      <c r="F19" s="47">
        <v>65.25</v>
      </c>
      <c r="G19" s="47">
        <v>62.2</v>
      </c>
      <c r="K19" s="44" t="s">
        <v>415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workbookViewId="0">
      <selection activeCell="I9" sqref="I9"/>
    </sheetView>
  </sheetViews>
  <sheetFormatPr defaultColWidth="9" defaultRowHeight="13.5"/>
  <cols>
    <col min="1" max="1" width="17.125" style="35" customWidth="1"/>
    <col min="2" max="2" width="6.375" style="35" customWidth="1"/>
    <col min="3" max="3" width="12.375" style="35" customWidth="1"/>
    <col min="4" max="4" width="12.625" style="35" customWidth="1"/>
    <col min="5" max="5" width="8.375" style="35" customWidth="1"/>
    <col min="6" max="6" width="12.875" style="35" customWidth="1"/>
    <col min="7" max="7" width="3.375" style="35" customWidth="1"/>
    <col min="8" max="8" width="12.875" style="35" customWidth="1"/>
    <col min="9" max="9" width="7.125" style="35" customWidth="1"/>
    <col min="10" max="10" width="10.375" style="35" customWidth="1"/>
    <col min="11" max="16384" width="9" style="35"/>
  </cols>
  <sheetData>
    <row r="1" ht="15.75" spans="1:20">
      <c r="A1" s="115" t="s">
        <v>66</v>
      </c>
      <c r="B1" s="36">
        <v>1</v>
      </c>
      <c r="C1" s="37" t="s">
        <v>225</v>
      </c>
      <c r="D1" s="38">
        <v>0.0686</v>
      </c>
      <c r="E1" s="39">
        <v>5038.02</v>
      </c>
      <c r="F1" s="35">
        <v>320007</v>
      </c>
      <c r="G1" s="36">
        <v>1</v>
      </c>
      <c r="H1" s="36" t="s">
        <v>332</v>
      </c>
      <c r="I1" s="40">
        <v>0.1264</v>
      </c>
      <c r="J1" s="36">
        <v>203710.38</v>
      </c>
      <c r="K1" s="115" t="s">
        <v>409</v>
      </c>
      <c r="L1" s="20">
        <v>1</v>
      </c>
      <c r="M1" s="20" t="s">
        <v>225</v>
      </c>
      <c r="N1" s="22">
        <v>0.0732</v>
      </c>
      <c r="O1" s="20">
        <v>8943.61</v>
      </c>
      <c r="P1" s="115" t="s">
        <v>402</v>
      </c>
      <c r="Q1" s="20">
        <v>1</v>
      </c>
      <c r="R1" s="20" t="s">
        <v>225</v>
      </c>
      <c r="S1" s="22">
        <v>0.0947</v>
      </c>
      <c r="T1" s="20">
        <v>51284.73</v>
      </c>
    </row>
    <row r="2" ht="15.75" spans="2:20">
      <c r="B2" s="36">
        <v>2</v>
      </c>
      <c r="C2" s="36" t="s">
        <v>311</v>
      </c>
      <c r="D2" s="40">
        <v>0.0614</v>
      </c>
      <c r="E2" s="36">
        <v>4506.57</v>
      </c>
      <c r="G2" s="36">
        <v>2</v>
      </c>
      <c r="H2" s="36" t="s">
        <v>420</v>
      </c>
      <c r="I2" s="40">
        <v>0.0971</v>
      </c>
      <c r="J2" s="36">
        <v>156460.98</v>
      </c>
      <c r="L2" s="20">
        <v>2</v>
      </c>
      <c r="M2" s="20" t="s">
        <v>421</v>
      </c>
      <c r="N2" s="22">
        <v>0.0708</v>
      </c>
      <c r="O2" s="20">
        <v>8640.7</v>
      </c>
      <c r="Q2" s="20">
        <v>2</v>
      </c>
      <c r="R2" s="20" t="s">
        <v>230</v>
      </c>
      <c r="S2" s="22">
        <v>0.0907</v>
      </c>
      <c r="T2" s="20">
        <v>49095.07</v>
      </c>
    </row>
    <row r="3" ht="15.75" spans="2:20">
      <c r="B3" s="36">
        <v>3</v>
      </c>
      <c r="C3" s="41" t="s">
        <v>314</v>
      </c>
      <c r="D3" s="40">
        <v>0.0586</v>
      </c>
      <c r="E3" s="36">
        <v>4299.46</v>
      </c>
      <c r="G3" s="36">
        <v>3</v>
      </c>
      <c r="H3" s="36" t="s">
        <v>422</v>
      </c>
      <c r="I3" s="40">
        <v>0.0903</v>
      </c>
      <c r="J3" s="36">
        <v>145589.38</v>
      </c>
      <c r="L3" s="20">
        <v>3</v>
      </c>
      <c r="M3" s="20" t="s">
        <v>423</v>
      </c>
      <c r="N3" s="22">
        <v>0.0605</v>
      </c>
      <c r="O3" s="20">
        <v>7392.39</v>
      </c>
      <c r="Q3" s="20">
        <v>3</v>
      </c>
      <c r="R3" s="20" t="s">
        <v>202</v>
      </c>
      <c r="S3" s="22">
        <v>0.0894</v>
      </c>
      <c r="T3" s="20">
        <v>48390.14</v>
      </c>
    </row>
    <row r="4" ht="15.75" spans="2:20">
      <c r="B4" s="36">
        <v>4</v>
      </c>
      <c r="C4" s="36" t="s">
        <v>316</v>
      </c>
      <c r="D4" s="40">
        <v>0.0545</v>
      </c>
      <c r="E4" s="36">
        <v>3996.97</v>
      </c>
      <c r="G4" s="36">
        <v>4</v>
      </c>
      <c r="H4" s="36" t="s">
        <v>424</v>
      </c>
      <c r="I4" s="40">
        <v>0.0887</v>
      </c>
      <c r="J4" s="36">
        <v>143020.15</v>
      </c>
      <c r="L4" s="20">
        <v>4</v>
      </c>
      <c r="M4" s="20" t="s">
        <v>425</v>
      </c>
      <c r="N4" s="22">
        <v>0.0589</v>
      </c>
      <c r="O4" s="20">
        <v>7193</v>
      </c>
      <c r="Q4" s="20">
        <v>4</v>
      </c>
      <c r="R4" s="20" t="s">
        <v>237</v>
      </c>
      <c r="S4" s="22">
        <v>0.0865</v>
      </c>
      <c r="T4" s="20">
        <v>46801.31</v>
      </c>
    </row>
    <row r="5" ht="15.75" spans="2:20">
      <c r="B5" s="36">
        <v>5</v>
      </c>
      <c r="C5" s="36" t="s">
        <v>317</v>
      </c>
      <c r="D5" s="40">
        <v>0.0466</v>
      </c>
      <c r="E5" s="36">
        <v>3421.14</v>
      </c>
      <c r="G5" s="36">
        <v>5</v>
      </c>
      <c r="H5" s="36" t="s">
        <v>426</v>
      </c>
      <c r="I5" s="40">
        <v>0.0876</v>
      </c>
      <c r="J5" s="36">
        <v>141198.45</v>
      </c>
      <c r="L5" s="20">
        <v>5</v>
      </c>
      <c r="M5" s="20" t="s">
        <v>317</v>
      </c>
      <c r="N5" s="22">
        <v>0.0529</v>
      </c>
      <c r="O5" s="20">
        <v>6456.3</v>
      </c>
      <c r="Q5" s="20">
        <v>5</v>
      </c>
      <c r="R5" s="20" t="s">
        <v>427</v>
      </c>
      <c r="S5" s="22">
        <v>0.0846</v>
      </c>
      <c r="T5" s="20">
        <v>45812.56</v>
      </c>
    </row>
    <row r="6" ht="15.75" spans="2:20">
      <c r="B6" s="36">
        <v>6</v>
      </c>
      <c r="C6" s="36" t="s">
        <v>320</v>
      </c>
      <c r="D6" s="40">
        <v>0.0455</v>
      </c>
      <c r="E6" s="36">
        <v>3342.31</v>
      </c>
      <c r="G6" s="36">
        <v>6</v>
      </c>
      <c r="H6" s="36" t="s">
        <v>428</v>
      </c>
      <c r="I6" s="40">
        <v>0.0754</v>
      </c>
      <c r="J6" s="36">
        <v>121594.94</v>
      </c>
      <c r="L6" s="20">
        <v>6</v>
      </c>
      <c r="M6" s="20" t="s">
        <v>297</v>
      </c>
      <c r="N6" s="22">
        <v>0.0497</v>
      </c>
      <c r="O6" s="20">
        <v>6070.51</v>
      </c>
      <c r="Q6" s="20">
        <v>6</v>
      </c>
      <c r="R6" s="20" t="s">
        <v>235</v>
      </c>
      <c r="S6" s="22">
        <v>0.0814</v>
      </c>
      <c r="T6" s="20">
        <v>44075.1</v>
      </c>
    </row>
    <row r="7" ht="15.75" spans="2:20">
      <c r="B7" s="36">
        <v>7</v>
      </c>
      <c r="C7" s="36" t="s">
        <v>224</v>
      </c>
      <c r="D7" s="40">
        <v>0.0448</v>
      </c>
      <c r="E7" s="36">
        <v>3285</v>
      </c>
      <c r="G7" s="36">
        <v>7</v>
      </c>
      <c r="H7" s="36" t="s">
        <v>214</v>
      </c>
      <c r="I7" s="40">
        <v>0.0725</v>
      </c>
      <c r="J7" s="36">
        <v>116914.79</v>
      </c>
      <c r="L7" s="20">
        <v>7</v>
      </c>
      <c r="M7" s="20" t="s">
        <v>186</v>
      </c>
      <c r="N7" s="22">
        <v>0.0422</v>
      </c>
      <c r="O7" s="20">
        <v>5155.77</v>
      </c>
      <c r="Q7" s="20">
        <v>7</v>
      </c>
      <c r="R7" s="20" t="s">
        <v>253</v>
      </c>
      <c r="S7" s="22">
        <v>0.0814</v>
      </c>
      <c r="T7" s="20">
        <v>44043.24</v>
      </c>
    </row>
    <row r="8" ht="15.75" spans="2:20">
      <c r="B8" s="36">
        <v>8</v>
      </c>
      <c r="C8" s="37" t="s">
        <v>197</v>
      </c>
      <c r="D8" s="38">
        <v>0.0421</v>
      </c>
      <c r="E8" s="39">
        <v>3088.06</v>
      </c>
      <c r="G8" s="36">
        <v>8</v>
      </c>
      <c r="H8" s="36" t="s">
        <v>429</v>
      </c>
      <c r="I8" s="40">
        <v>0.0716</v>
      </c>
      <c r="J8" s="36">
        <v>115479.13</v>
      </c>
      <c r="L8" s="20">
        <v>8</v>
      </c>
      <c r="M8" s="20" t="s">
        <v>230</v>
      </c>
      <c r="N8" s="22">
        <v>0.0405</v>
      </c>
      <c r="O8" s="20">
        <v>4950.65</v>
      </c>
      <c r="Q8" s="20">
        <v>8</v>
      </c>
      <c r="R8" s="20" t="s">
        <v>188</v>
      </c>
      <c r="S8" s="22">
        <v>0.0623</v>
      </c>
      <c r="T8" s="20">
        <v>33744.18</v>
      </c>
    </row>
    <row r="9" ht="15.75" spans="2:20">
      <c r="B9" s="36">
        <v>9</v>
      </c>
      <c r="C9" s="36" t="s">
        <v>239</v>
      </c>
      <c r="D9" s="40">
        <v>0.0397</v>
      </c>
      <c r="E9" s="36">
        <v>2910.75</v>
      </c>
      <c r="G9" s="36">
        <v>9</v>
      </c>
      <c r="H9" s="36" t="s">
        <v>430</v>
      </c>
      <c r="I9" s="40">
        <v>0.0536</v>
      </c>
      <c r="J9" s="36">
        <v>86446.32</v>
      </c>
      <c r="L9" s="20">
        <v>9</v>
      </c>
      <c r="M9" s="20" t="s">
        <v>431</v>
      </c>
      <c r="N9" s="22">
        <v>0.0402</v>
      </c>
      <c r="O9" s="20">
        <v>4915</v>
      </c>
      <c r="Q9" s="20">
        <v>9</v>
      </c>
      <c r="R9" s="20" t="s">
        <v>432</v>
      </c>
      <c r="S9" s="22">
        <v>0.0586</v>
      </c>
      <c r="T9" s="20">
        <v>31713.03</v>
      </c>
    </row>
    <row r="10" ht="15.75" spans="2:20">
      <c r="B10" s="36">
        <v>10</v>
      </c>
      <c r="C10" s="36" t="s">
        <v>276</v>
      </c>
      <c r="D10" s="40">
        <v>0.0368</v>
      </c>
      <c r="E10" s="36">
        <v>2702.81</v>
      </c>
      <c r="G10" s="36">
        <v>10</v>
      </c>
      <c r="H10" s="36" t="s">
        <v>433</v>
      </c>
      <c r="I10" s="40">
        <v>0.0511</v>
      </c>
      <c r="J10" s="36">
        <v>82349.96</v>
      </c>
      <c r="L10" s="20">
        <v>10</v>
      </c>
      <c r="M10" s="20" t="s">
        <v>434</v>
      </c>
      <c r="N10" s="22">
        <v>0.0322</v>
      </c>
      <c r="O10" s="20">
        <v>3933.76</v>
      </c>
      <c r="Q10" s="24">
        <v>10</v>
      </c>
      <c r="R10" s="24" t="s">
        <v>435</v>
      </c>
      <c r="S10" s="26">
        <v>0.0524</v>
      </c>
      <c r="T10" s="24">
        <v>28372.35</v>
      </c>
    </row>
    <row r="11" ht="19" customHeight="1" spans="1:20">
      <c r="A11" s="115" t="s">
        <v>309</v>
      </c>
      <c r="B11" s="36">
        <v>1</v>
      </c>
      <c r="C11" s="41" t="s">
        <v>310</v>
      </c>
      <c r="D11" s="40">
        <v>0.0816</v>
      </c>
      <c r="E11" s="36">
        <v>1281.73</v>
      </c>
      <c r="F11" s="115" t="s">
        <v>327</v>
      </c>
      <c r="G11" s="20">
        <v>1</v>
      </c>
      <c r="H11" s="20" t="s">
        <v>328</v>
      </c>
      <c r="I11" s="22">
        <v>0.0895</v>
      </c>
      <c r="J11" s="20">
        <v>15179.74</v>
      </c>
      <c r="K11" s="115" t="s">
        <v>135</v>
      </c>
      <c r="L11" s="20">
        <v>1</v>
      </c>
      <c r="M11" s="43" t="s">
        <v>436</v>
      </c>
      <c r="N11" s="22">
        <v>0.0746</v>
      </c>
      <c r="O11" s="20">
        <v>19035.85</v>
      </c>
      <c r="P11" s="35">
        <v>161606</v>
      </c>
      <c r="Q11" s="20">
        <v>1</v>
      </c>
      <c r="R11" s="20" t="s">
        <v>437</v>
      </c>
      <c r="S11" s="22">
        <v>0.1027</v>
      </c>
      <c r="T11" s="20">
        <v>83144.57</v>
      </c>
    </row>
    <row r="12" ht="15.75" spans="2:20">
      <c r="B12" s="36">
        <v>2</v>
      </c>
      <c r="C12" s="37" t="s">
        <v>225</v>
      </c>
      <c r="D12" s="38">
        <v>0.0815</v>
      </c>
      <c r="E12" s="39">
        <v>1280.14</v>
      </c>
      <c r="G12" s="20">
        <v>2</v>
      </c>
      <c r="H12" s="21" t="s">
        <v>317</v>
      </c>
      <c r="I12" s="22">
        <v>0.0684</v>
      </c>
      <c r="J12" s="20">
        <v>11592.62</v>
      </c>
      <c r="L12" s="20">
        <v>2</v>
      </c>
      <c r="M12" s="20" t="s">
        <v>235</v>
      </c>
      <c r="N12" s="22">
        <v>0.0693</v>
      </c>
      <c r="O12" s="20">
        <v>17693.99</v>
      </c>
      <c r="Q12" s="20">
        <v>2</v>
      </c>
      <c r="R12" s="20" t="s">
        <v>249</v>
      </c>
      <c r="S12" s="22">
        <v>0.0939</v>
      </c>
      <c r="T12" s="20">
        <v>76022.86</v>
      </c>
    </row>
    <row r="13" ht="15.75" spans="2:20">
      <c r="B13" s="36">
        <v>3</v>
      </c>
      <c r="C13" s="41" t="s">
        <v>314</v>
      </c>
      <c r="D13" s="40">
        <v>0.0792</v>
      </c>
      <c r="E13" s="36">
        <v>1244.41</v>
      </c>
      <c r="G13" s="20">
        <v>3</v>
      </c>
      <c r="H13" s="20" t="s">
        <v>295</v>
      </c>
      <c r="I13" s="22">
        <v>0.0456</v>
      </c>
      <c r="J13" s="20">
        <v>7737.11</v>
      </c>
      <c r="L13" s="20">
        <v>3</v>
      </c>
      <c r="M13" s="20" t="s">
        <v>193</v>
      </c>
      <c r="N13" s="22">
        <v>0.069</v>
      </c>
      <c r="O13" s="20">
        <v>17625.36</v>
      </c>
      <c r="Q13" s="20">
        <v>3</v>
      </c>
      <c r="R13" s="20" t="s">
        <v>230</v>
      </c>
      <c r="S13" s="22">
        <v>0.0934</v>
      </c>
      <c r="T13" s="20">
        <v>75625.65</v>
      </c>
    </row>
    <row r="14" ht="15.75" spans="2:20">
      <c r="B14" s="36">
        <v>4</v>
      </c>
      <c r="C14" s="37" t="s">
        <v>197</v>
      </c>
      <c r="D14" s="38">
        <v>0.0779</v>
      </c>
      <c r="E14" s="39">
        <v>1224.01</v>
      </c>
      <c r="G14" s="20">
        <v>4</v>
      </c>
      <c r="H14" s="20" t="s">
        <v>331</v>
      </c>
      <c r="I14" s="22">
        <v>0.034</v>
      </c>
      <c r="J14" s="20">
        <v>5770.99</v>
      </c>
      <c r="L14" s="20">
        <v>4</v>
      </c>
      <c r="M14" s="20" t="s">
        <v>186</v>
      </c>
      <c r="N14" s="22">
        <v>0.0653</v>
      </c>
      <c r="O14" s="20">
        <v>16662.2</v>
      </c>
      <c r="Q14" s="20">
        <v>4</v>
      </c>
      <c r="R14" s="20" t="s">
        <v>438</v>
      </c>
      <c r="S14" s="22">
        <v>0.0825</v>
      </c>
      <c r="T14" s="20">
        <v>66786.05</v>
      </c>
    </row>
    <row r="15" ht="15.75" spans="2:20">
      <c r="B15" s="36">
        <v>5</v>
      </c>
      <c r="C15" s="41" t="s">
        <v>318</v>
      </c>
      <c r="D15" s="40">
        <v>0.0662</v>
      </c>
      <c r="E15" s="36">
        <v>1039.73</v>
      </c>
      <c r="G15" s="20">
        <v>5</v>
      </c>
      <c r="H15" s="20" t="s">
        <v>333</v>
      </c>
      <c r="I15" s="22">
        <v>0.0289</v>
      </c>
      <c r="J15" s="20">
        <v>4904.82</v>
      </c>
      <c r="L15" s="20">
        <v>5</v>
      </c>
      <c r="M15" s="20" t="s">
        <v>201</v>
      </c>
      <c r="N15" s="22">
        <v>0.0617</v>
      </c>
      <c r="O15" s="20">
        <v>15758.56</v>
      </c>
      <c r="Q15" s="20">
        <v>5</v>
      </c>
      <c r="R15" s="20" t="s">
        <v>439</v>
      </c>
      <c r="S15" s="22">
        <v>0.0696</v>
      </c>
      <c r="T15" s="20">
        <v>56354.85</v>
      </c>
    </row>
    <row r="16" ht="15.75" spans="2:20">
      <c r="B16" s="36">
        <v>6</v>
      </c>
      <c r="C16" s="36" t="s">
        <v>264</v>
      </c>
      <c r="D16" s="40">
        <v>0.0598</v>
      </c>
      <c r="E16" s="36">
        <v>939.62</v>
      </c>
      <c r="G16" s="20">
        <v>6</v>
      </c>
      <c r="H16" s="20" t="s">
        <v>260</v>
      </c>
      <c r="I16" s="22">
        <v>0.0289</v>
      </c>
      <c r="J16" s="20">
        <v>4903.31</v>
      </c>
      <c r="L16" s="20">
        <v>6</v>
      </c>
      <c r="M16" s="20" t="s">
        <v>240</v>
      </c>
      <c r="N16" s="22">
        <v>0.0571</v>
      </c>
      <c r="O16" s="20">
        <v>14566.83</v>
      </c>
      <c r="Q16" s="20">
        <v>6</v>
      </c>
      <c r="R16" s="20" t="s">
        <v>200</v>
      </c>
      <c r="S16" s="22">
        <v>0.0645</v>
      </c>
      <c r="T16" s="20">
        <v>52209.45</v>
      </c>
    </row>
    <row r="17" ht="15.75" spans="2:20">
      <c r="B17" s="36">
        <v>7</v>
      </c>
      <c r="C17" s="41" t="s">
        <v>322</v>
      </c>
      <c r="D17" s="40">
        <v>0.0586</v>
      </c>
      <c r="E17" s="36">
        <v>920.29</v>
      </c>
      <c r="G17" s="20">
        <v>7</v>
      </c>
      <c r="H17" s="20" t="s">
        <v>334</v>
      </c>
      <c r="I17" s="22">
        <v>0.0284</v>
      </c>
      <c r="J17" s="20">
        <v>4818.49</v>
      </c>
      <c r="L17" s="20">
        <v>7</v>
      </c>
      <c r="M17" s="20" t="s">
        <v>190</v>
      </c>
      <c r="N17" s="22">
        <v>0.049</v>
      </c>
      <c r="O17" s="20">
        <v>12501.86</v>
      </c>
      <c r="Q17" s="20">
        <v>7</v>
      </c>
      <c r="R17" s="20" t="s">
        <v>440</v>
      </c>
      <c r="S17" s="22">
        <v>0.0641</v>
      </c>
      <c r="T17" s="20">
        <v>51838.52</v>
      </c>
    </row>
    <row r="18" ht="25.5" spans="2:20">
      <c r="B18" s="36">
        <v>8</v>
      </c>
      <c r="C18" s="36" t="s">
        <v>315</v>
      </c>
      <c r="D18" s="40">
        <v>0.0568</v>
      </c>
      <c r="E18" s="36">
        <v>891.97</v>
      </c>
      <c r="G18" s="20">
        <v>8</v>
      </c>
      <c r="H18" s="20" t="s">
        <v>335</v>
      </c>
      <c r="I18" s="22">
        <v>0.0226</v>
      </c>
      <c r="J18" s="20">
        <v>3840.01</v>
      </c>
      <c r="L18" s="20">
        <v>8</v>
      </c>
      <c r="M18" s="20" t="s">
        <v>243</v>
      </c>
      <c r="N18" s="22">
        <v>0.0485</v>
      </c>
      <c r="O18" s="20">
        <v>12386.09</v>
      </c>
      <c r="Q18" s="20">
        <v>8</v>
      </c>
      <c r="R18" s="20" t="s">
        <v>441</v>
      </c>
      <c r="S18" s="22">
        <v>0.0634</v>
      </c>
      <c r="T18" s="20">
        <v>51332.28</v>
      </c>
    </row>
    <row r="19" ht="15.75" spans="2:20">
      <c r="B19" s="36">
        <v>9</v>
      </c>
      <c r="C19" s="36" t="s">
        <v>323</v>
      </c>
      <c r="D19" s="40">
        <v>0.049</v>
      </c>
      <c r="E19" s="36">
        <v>770.2</v>
      </c>
      <c r="G19" s="20">
        <v>9</v>
      </c>
      <c r="H19" s="20" t="s">
        <v>337</v>
      </c>
      <c r="I19" s="22">
        <v>0.0211</v>
      </c>
      <c r="J19" s="20">
        <v>3584.63</v>
      </c>
      <c r="L19" s="20">
        <v>9</v>
      </c>
      <c r="M19" s="20" t="s">
        <v>245</v>
      </c>
      <c r="N19" s="22">
        <v>0.0464</v>
      </c>
      <c r="O19" s="20">
        <v>11836.39</v>
      </c>
      <c r="Q19" s="20">
        <v>9</v>
      </c>
      <c r="R19" s="20" t="s">
        <v>442</v>
      </c>
      <c r="S19" s="22">
        <v>0.0419</v>
      </c>
      <c r="T19" s="20">
        <v>33911.31</v>
      </c>
    </row>
    <row r="20" ht="15.75" spans="2:20">
      <c r="B20" s="36">
        <v>10</v>
      </c>
      <c r="C20" s="36" t="s">
        <v>260</v>
      </c>
      <c r="D20" s="40">
        <v>0.0448</v>
      </c>
      <c r="E20" s="36">
        <v>703.72</v>
      </c>
      <c r="G20" s="20">
        <v>10</v>
      </c>
      <c r="H20" s="20" t="s">
        <v>338</v>
      </c>
      <c r="I20" s="22">
        <v>0.0198</v>
      </c>
      <c r="J20" s="20">
        <v>3357.49</v>
      </c>
      <c r="L20" s="20">
        <v>10</v>
      </c>
      <c r="M20" s="20" t="s">
        <v>207</v>
      </c>
      <c r="N20" s="22">
        <v>0.0458</v>
      </c>
      <c r="O20" s="20">
        <v>11683.23</v>
      </c>
      <c r="Q20" s="20">
        <v>10</v>
      </c>
      <c r="R20" s="20" t="s">
        <v>443</v>
      </c>
      <c r="S20" s="22">
        <v>0.0375</v>
      </c>
      <c r="T20" s="20">
        <v>30389.93</v>
      </c>
    </row>
    <row r="21" ht="15.75" spans="1:20">
      <c r="A21" s="115" t="s">
        <v>444</v>
      </c>
      <c r="B21" s="36">
        <v>1</v>
      </c>
      <c r="C21" s="37" t="s">
        <v>225</v>
      </c>
      <c r="D21" s="38">
        <v>0.0818</v>
      </c>
      <c r="E21" s="39">
        <v>2407.02</v>
      </c>
      <c r="F21" s="115" t="s">
        <v>400</v>
      </c>
      <c r="G21" s="24">
        <v>1</v>
      </c>
      <c r="H21" s="24" t="s">
        <v>190</v>
      </c>
      <c r="I21" s="26">
        <v>0.0409</v>
      </c>
      <c r="J21" s="24">
        <v>7692.4</v>
      </c>
      <c r="K21" s="115" t="s">
        <v>329</v>
      </c>
      <c r="L21" s="20">
        <v>1</v>
      </c>
      <c r="M21" s="20" t="s">
        <v>200</v>
      </c>
      <c r="N21" s="22">
        <v>0.0948</v>
      </c>
      <c r="O21" s="20">
        <v>12900.99</v>
      </c>
      <c r="P21" s="115" t="s">
        <v>286</v>
      </c>
      <c r="Q21" s="20">
        <v>1</v>
      </c>
      <c r="R21" s="20" t="s">
        <v>287</v>
      </c>
      <c r="S21" s="22">
        <v>0.072</v>
      </c>
      <c r="T21" s="20">
        <v>4356.61</v>
      </c>
    </row>
    <row r="22" ht="15.75" spans="2:20">
      <c r="B22" s="36">
        <v>2</v>
      </c>
      <c r="C22" s="41" t="s">
        <v>310</v>
      </c>
      <c r="D22" s="40">
        <v>0.0793</v>
      </c>
      <c r="E22" s="36">
        <v>2333.14</v>
      </c>
      <c r="G22" s="20">
        <v>2</v>
      </c>
      <c r="H22" s="20" t="s">
        <v>189</v>
      </c>
      <c r="I22" s="22">
        <v>0.0382</v>
      </c>
      <c r="J22" s="20">
        <v>7193.2</v>
      </c>
      <c r="L22" s="20">
        <v>2</v>
      </c>
      <c r="M22" s="20" t="s">
        <v>186</v>
      </c>
      <c r="N22" s="22">
        <v>0.0895</v>
      </c>
      <c r="O22" s="20">
        <v>12178.04</v>
      </c>
      <c r="Q22" s="20">
        <v>2</v>
      </c>
      <c r="R22" s="20" t="s">
        <v>291</v>
      </c>
      <c r="S22" s="22">
        <v>0.0599</v>
      </c>
      <c r="T22" s="20">
        <v>3622.11</v>
      </c>
    </row>
    <row r="23" ht="15.75" spans="2:20">
      <c r="B23" s="36">
        <v>3</v>
      </c>
      <c r="C23" s="41" t="s">
        <v>314</v>
      </c>
      <c r="D23" s="40">
        <v>0.0793</v>
      </c>
      <c r="E23" s="36">
        <v>2332.16</v>
      </c>
      <c r="G23" s="20">
        <v>3</v>
      </c>
      <c r="H23" s="21" t="s">
        <v>230</v>
      </c>
      <c r="I23" s="22">
        <v>0.0348</v>
      </c>
      <c r="J23" s="20">
        <v>6549.97</v>
      </c>
      <c r="L23" s="20">
        <v>3</v>
      </c>
      <c r="M23" s="20" t="s">
        <v>189</v>
      </c>
      <c r="N23" s="22">
        <v>0.0843</v>
      </c>
      <c r="O23" s="20">
        <v>11467.72</v>
      </c>
      <c r="Q23" s="20">
        <v>3</v>
      </c>
      <c r="R23" s="20" t="s">
        <v>292</v>
      </c>
      <c r="S23" s="22">
        <v>0.0578</v>
      </c>
      <c r="T23" s="20">
        <v>3493.63</v>
      </c>
    </row>
    <row r="24" ht="15.75" spans="2:20">
      <c r="B24" s="36">
        <v>4</v>
      </c>
      <c r="C24" s="37" t="s">
        <v>197</v>
      </c>
      <c r="D24" s="38">
        <v>0.0786</v>
      </c>
      <c r="E24" s="39">
        <v>2313.76</v>
      </c>
      <c r="G24" s="20">
        <v>4</v>
      </c>
      <c r="H24" s="20" t="s">
        <v>245</v>
      </c>
      <c r="I24" s="22">
        <v>0.0301</v>
      </c>
      <c r="J24" s="20">
        <v>5668.78</v>
      </c>
      <c r="L24" s="20">
        <v>4</v>
      </c>
      <c r="M24" s="20" t="s">
        <v>192</v>
      </c>
      <c r="N24" s="22">
        <v>0.083</v>
      </c>
      <c r="O24" s="20">
        <v>11286.04</v>
      </c>
      <c r="Q24" s="20">
        <v>4</v>
      </c>
      <c r="R24" s="20" t="s">
        <v>295</v>
      </c>
      <c r="S24" s="22">
        <v>0.0467</v>
      </c>
      <c r="T24" s="20">
        <v>2822.7</v>
      </c>
    </row>
    <row r="25" ht="15.75" spans="2:20">
      <c r="B25" s="36">
        <v>5</v>
      </c>
      <c r="C25" s="41" t="s">
        <v>322</v>
      </c>
      <c r="D25" s="40">
        <v>0.0595</v>
      </c>
      <c r="E25" s="36">
        <v>1750.77</v>
      </c>
      <c r="G25" s="20">
        <v>5</v>
      </c>
      <c r="H25" s="20" t="s">
        <v>201</v>
      </c>
      <c r="I25" s="22">
        <v>0.0292</v>
      </c>
      <c r="J25" s="20">
        <v>5495.71</v>
      </c>
      <c r="L25" s="20">
        <v>5</v>
      </c>
      <c r="M25" s="20" t="s">
        <v>195</v>
      </c>
      <c r="N25" s="22">
        <v>0.0821</v>
      </c>
      <c r="O25" s="20">
        <v>11172.13</v>
      </c>
      <c r="Q25" s="20">
        <v>5</v>
      </c>
      <c r="R25" s="20" t="s">
        <v>186</v>
      </c>
      <c r="S25" s="22">
        <v>0.0435</v>
      </c>
      <c r="T25" s="20">
        <v>2633.18</v>
      </c>
    </row>
    <row r="26" ht="15.75" spans="2:20">
      <c r="B26" s="36">
        <v>6</v>
      </c>
      <c r="C26" s="36" t="s">
        <v>264</v>
      </c>
      <c r="D26" s="40">
        <v>0.0527</v>
      </c>
      <c r="E26" s="36">
        <v>1551.92</v>
      </c>
      <c r="G26" s="20">
        <v>6</v>
      </c>
      <c r="H26" s="20" t="s">
        <v>445</v>
      </c>
      <c r="I26" s="22">
        <v>0.027</v>
      </c>
      <c r="J26" s="20">
        <v>5086.94</v>
      </c>
      <c r="L26" s="20">
        <v>6</v>
      </c>
      <c r="M26" s="20" t="s">
        <v>197</v>
      </c>
      <c r="N26" s="22">
        <v>0.08</v>
      </c>
      <c r="O26" s="20">
        <v>10879.68</v>
      </c>
      <c r="Q26" s="20">
        <v>6</v>
      </c>
      <c r="R26" s="20" t="s">
        <v>193</v>
      </c>
      <c r="S26" s="22">
        <v>0.0424</v>
      </c>
      <c r="T26" s="20">
        <v>2566.8</v>
      </c>
    </row>
    <row r="27" ht="15.75" spans="2:20">
      <c r="B27" s="36">
        <v>7</v>
      </c>
      <c r="C27" s="41" t="s">
        <v>318</v>
      </c>
      <c r="D27" s="40">
        <v>0.0487</v>
      </c>
      <c r="E27" s="36">
        <v>1431.98</v>
      </c>
      <c r="G27" s="20">
        <v>7</v>
      </c>
      <c r="H27" s="20" t="s">
        <v>446</v>
      </c>
      <c r="I27" s="22">
        <v>0.0265</v>
      </c>
      <c r="J27" s="20">
        <v>4980.25</v>
      </c>
      <c r="L27" s="20">
        <v>7</v>
      </c>
      <c r="M27" s="20" t="s">
        <v>203</v>
      </c>
      <c r="N27" s="22">
        <v>0.0687</v>
      </c>
      <c r="O27" s="20">
        <v>9343.76</v>
      </c>
      <c r="Q27" s="20">
        <v>7</v>
      </c>
      <c r="R27" s="20" t="s">
        <v>300</v>
      </c>
      <c r="S27" s="22">
        <v>0.0421</v>
      </c>
      <c r="T27" s="20">
        <v>2545.65</v>
      </c>
    </row>
    <row r="28" ht="15.75" spans="2:20">
      <c r="B28" s="36">
        <v>8</v>
      </c>
      <c r="C28" s="36" t="s">
        <v>315</v>
      </c>
      <c r="D28" s="40">
        <v>0.0457</v>
      </c>
      <c r="E28" s="36">
        <v>1344.01</v>
      </c>
      <c r="G28" s="20">
        <v>8</v>
      </c>
      <c r="H28" s="20" t="s">
        <v>193</v>
      </c>
      <c r="I28" s="22">
        <v>0.0249</v>
      </c>
      <c r="J28" s="20">
        <v>4682.43</v>
      </c>
      <c r="L28" s="20">
        <v>8</v>
      </c>
      <c r="M28" s="20" t="s">
        <v>206</v>
      </c>
      <c r="N28" s="22">
        <v>0.0543</v>
      </c>
      <c r="O28" s="20">
        <v>7385.74</v>
      </c>
      <c r="Q28" s="20">
        <v>8</v>
      </c>
      <c r="R28" s="20" t="s">
        <v>302</v>
      </c>
      <c r="S28" s="22">
        <v>0.0415</v>
      </c>
      <c r="T28" s="20">
        <v>2511.42</v>
      </c>
    </row>
    <row r="29" ht="15.75" spans="2:20">
      <c r="B29" s="36">
        <v>9</v>
      </c>
      <c r="C29" s="36" t="s">
        <v>359</v>
      </c>
      <c r="D29" s="40">
        <v>0.0432</v>
      </c>
      <c r="E29" s="36">
        <v>1270.55</v>
      </c>
      <c r="G29" s="20">
        <v>9</v>
      </c>
      <c r="H29" s="20" t="s">
        <v>311</v>
      </c>
      <c r="I29" s="22">
        <v>0.0243</v>
      </c>
      <c r="J29" s="20">
        <v>4580.58</v>
      </c>
      <c r="L29" s="20">
        <v>9</v>
      </c>
      <c r="M29" s="20" t="s">
        <v>209</v>
      </c>
      <c r="N29" s="22">
        <v>0.0402</v>
      </c>
      <c r="O29" s="20">
        <v>5470.71</v>
      </c>
      <c r="Q29" s="20">
        <v>9</v>
      </c>
      <c r="R29" s="20" t="s">
        <v>304</v>
      </c>
      <c r="S29" s="22">
        <v>0.0364</v>
      </c>
      <c r="T29" s="20">
        <v>2200</v>
      </c>
    </row>
    <row r="30" ht="15.75" spans="2:20">
      <c r="B30" s="36">
        <v>10</v>
      </c>
      <c r="C30" s="36" t="s">
        <v>323</v>
      </c>
      <c r="D30" s="40">
        <v>0.0426</v>
      </c>
      <c r="E30" s="36">
        <v>1253.21</v>
      </c>
      <c r="G30" s="20">
        <v>10</v>
      </c>
      <c r="H30" s="20" t="s">
        <v>447</v>
      </c>
      <c r="I30" s="22">
        <v>0.0233</v>
      </c>
      <c r="J30" s="20">
        <v>4390.57</v>
      </c>
      <c r="L30" s="20">
        <v>10</v>
      </c>
      <c r="M30" s="20" t="s">
        <v>212</v>
      </c>
      <c r="N30" s="22">
        <v>0.0381</v>
      </c>
      <c r="O30" s="20">
        <v>5184.74</v>
      </c>
      <c r="Q30" s="20">
        <v>10</v>
      </c>
      <c r="R30" s="20" t="s">
        <v>307</v>
      </c>
      <c r="S30" s="22">
        <v>0.0338</v>
      </c>
      <c r="T30" s="20">
        <v>2046.65</v>
      </c>
    </row>
    <row r="31" ht="15.75" spans="6:20">
      <c r="F31" s="115" t="s">
        <v>448</v>
      </c>
      <c r="G31" s="20">
        <v>1</v>
      </c>
      <c r="H31" s="20" t="s">
        <v>287</v>
      </c>
      <c r="I31" s="22">
        <v>0.0731</v>
      </c>
      <c r="J31" s="20">
        <v>1937.06</v>
      </c>
      <c r="K31" s="35">
        <v>163415</v>
      </c>
      <c r="L31" s="20">
        <v>1</v>
      </c>
      <c r="M31" s="20" t="s">
        <v>215</v>
      </c>
      <c r="N31" s="22">
        <v>0.0394</v>
      </c>
      <c r="O31" s="20">
        <v>37198.24</v>
      </c>
      <c r="P31" s="115" t="s">
        <v>449</v>
      </c>
      <c r="Q31" s="20">
        <v>1</v>
      </c>
      <c r="R31" s="21" t="s">
        <v>314</v>
      </c>
      <c r="S31" s="22">
        <v>0.0965</v>
      </c>
      <c r="T31" s="20">
        <v>281.9</v>
      </c>
    </row>
    <row r="32" ht="15.75" spans="1:20">
      <c r="A32" s="35" t="s">
        <v>450</v>
      </c>
      <c r="B32" s="35">
        <v>24.02</v>
      </c>
      <c r="C32" s="35">
        <v>11.56</v>
      </c>
      <c r="D32" s="42">
        <f t="shared" ref="D32:D37" si="0">C32/B32</f>
        <v>0.481265611990008</v>
      </c>
      <c r="G32" s="20">
        <v>2</v>
      </c>
      <c r="H32" s="20" t="s">
        <v>291</v>
      </c>
      <c r="I32" s="22">
        <v>0.0648</v>
      </c>
      <c r="J32" s="20">
        <v>1715.85</v>
      </c>
      <c r="L32" s="20">
        <v>2</v>
      </c>
      <c r="M32" s="20" t="s">
        <v>217</v>
      </c>
      <c r="N32" s="22">
        <v>0.0381</v>
      </c>
      <c r="O32" s="20">
        <v>35948.81</v>
      </c>
      <c r="Q32" s="20">
        <v>2</v>
      </c>
      <c r="R32" s="20" t="s">
        <v>249</v>
      </c>
      <c r="S32" s="22">
        <v>0.0894</v>
      </c>
      <c r="T32" s="20">
        <v>261.14</v>
      </c>
    </row>
    <row r="33" ht="15.75" spans="1:20">
      <c r="A33" s="35" t="s">
        <v>451</v>
      </c>
      <c r="B33" s="35">
        <v>53.91</v>
      </c>
      <c r="C33" s="35">
        <v>6.55</v>
      </c>
      <c r="D33" s="35">
        <f t="shared" si="0"/>
        <v>0.121498794286774</v>
      </c>
      <c r="G33" s="20">
        <v>3</v>
      </c>
      <c r="H33" s="20" t="s">
        <v>292</v>
      </c>
      <c r="I33" s="22">
        <v>0.0603</v>
      </c>
      <c r="J33" s="20">
        <v>1597.12</v>
      </c>
      <c r="L33" s="20">
        <v>3</v>
      </c>
      <c r="M33" s="20" t="s">
        <v>452</v>
      </c>
      <c r="N33" s="22">
        <v>0.0374</v>
      </c>
      <c r="O33" s="20">
        <v>35311.6</v>
      </c>
      <c r="Q33" s="20">
        <v>3</v>
      </c>
      <c r="R33" s="20" t="s">
        <v>242</v>
      </c>
      <c r="S33" s="22">
        <v>0.0892</v>
      </c>
      <c r="T33" s="20">
        <v>260.44</v>
      </c>
    </row>
    <row r="34" ht="15.75" spans="1:20">
      <c r="A34" s="35" t="s">
        <v>453</v>
      </c>
      <c r="B34" s="35">
        <v>38.34</v>
      </c>
      <c r="C34" s="35">
        <v>5.38</v>
      </c>
      <c r="D34" s="35">
        <f t="shared" si="0"/>
        <v>0.140323422013563</v>
      </c>
      <c r="G34" s="20">
        <v>4</v>
      </c>
      <c r="H34" s="20" t="s">
        <v>295</v>
      </c>
      <c r="I34" s="22">
        <v>0.0533</v>
      </c>
      <c r="J34" s="20">
        <v>1411.35</v>
      </c>
      <c r="L34" s="20">
        <v>4</v>
      </c>
      <c r="M34" s="20" t="s">
        <v>221</v>
      </c>
      <c r="N34" s="22">
        <v>0.0359</v>
      </c>
      <c r="O34" s="20">
        <v>33880.73</v>
      </c>
      <c r="Q34" s="20">
        <v>4</v>
      </c>
      <c r="R34" s="21" t="s">
        <v>225</v>
      </c>
      <c r="S34" s="22">
        <v>0.0883</v>
      </c>
      <c r="T34" s="20">
        <v>257.9</v>
      </c>
    </row>
    <row r="35" ht="15.75" spans="1:20">
      <c r="A35" s="35" t="s">
        <v>454</v>
      </c>
      <c r="B35" s="35">
        <v>77.84</v>
      </c>
      <c r="C35" s="35">
        <v>8.82</v>
      </c>
      <c r="D35" s="35">
        <f t="shared" si="0"/>
        <v>0.113309352517986</v>
      </c>
      <c r="G35" s="20">
        <v>5</v>
      </c>
      <c r="H35" s="20" t="s">
        <v>193</v>
      </c>
      <c r="I35" s="22">
        <v>0.0452</v>
      </c>
      <c r="J35" s="20">
        <v>1197.84</v>
      </c>
      <c r="L35" s="20">
        <v>5</v>
      </c>
      <c r="M35" s="20" t="s">
        <v>223</v>
      </c>
      <c r="N35" s="22">
        <v>0.0349</v>
      </c>
      <c r="O35" s="20">
        <v>32937.56</v>
      </c>
      <c r="Q35" s="20">
        <v>5</v>
      </c>
      <c r="R35" s="21" t="s">
        <v>197</v>
      </c>
      <c r="S35" s="22">
        <v>0.0794</v>
      </c>
      <c r="T35" s="20">
        <v>231.9</v>
      </c>
    </row>
    <row r="36" ht="15.75" spans="1:20">
      <c r="A36" s="35" t="s">
        <v>455</v>
      </c>
      <c r="B36" s="35">
        <v>88.28</v>
      </c>
      <c r="C36" s="35">
        <v>10.58</v>
      </c>
      <c r="D36" s="35">
        <f t="shared" si="0"/>
        <v>0.119845944721341</v>
      </c>
      <c r="G36" s="20">
        <v>6</v>
      </c>
      <c r="H36" s="20" t="s">
        <v>186</v>
      </c>
      <c r="I36" s="22">
        <v>0.0442</v>
      </c>
      <c r="J36" s="20">
        <v>1170.3</v>
      </c>
      <c r="L36" s="20">
        <v>6</v>
      </c>
      <c r="M36" s="20" t="s">
        <v>225</v>
      </c>
      <c r="N36" s="22">
        <v>0.0349</v>
      </c>
      <c r="O36" s="20">
        <v>32929.03</v>
      </c>
      <c r="Q36" s="20">
        <v>6</v>
      </c>
      <c r="R36" s="20" t="s">
        <v>456</v>
      </c>
      <c r="S36" s="22">
        <v>0.0578</v>
      </c>
      <c r="T36" s="20">
        <v>168.78</v>
      </c>
    </row>
    <row r="37" ht="15.75" spans="1:20">
      <c r="A37" s="35" t="s">
        <v>457</v>
      </c>
      <c r="B37" s="35">
        <v>87.82</v>
      </c>
      <c r="C37" s="35">
        <v>10.78</v>
      </c>
      <c r="D37" s="35">
        <f t="shared" si="0"/>
        <v>0.122751081758142</v>
      </c>
      <c r="G37" s="20">
        <v>7</v>
      </c>
      <c r="H37" s="20" t="s">
        <v>300</v>
      </c>
      <c r="I37" s="22">
        <v>0.0427</v>
      </c>
      <c r="J37" s="20">
        <v>1131.4</v>
      </c>
      <c r="L37" s="20">
        <v>7</v>
      </c>
      <c r="M37" s="20" t="s">
        <v>227</v>
      </c>
      <c r="N37" s="22">
        <v>0.0331</v>
      </c>
      <c r="O37" s="20">
        <v>31258.61</v>
      </c>
      <c r="Q37" s="24">
        <v>7</v>
      </c>
      <c r="R37" s="24" t="s">
        <v>274</v>
      </c>
      <c r="S37" s="26">
        <v>0.0412</v>
      </c>
      <c r="T37" s="24">
        <v>120.48</v>
      </c>
    </row>
    <row r="38" ht="15.75" spans="7:20">
      <c r="G38" s="20">
        <v>8</v>
      </c>
      <c r="H38" s="20" t="s">
        <v>302</v>
      </c>
      <c r="I38" s="22">
        <v>0.0406</v>
      </c>
      <c r="J38" s="20">
        <v>1076.42</v>
      </c>
      <c r="L38" s="20">
        <v>8</v>
      </c>
      <c r="M38" s="20" t="s">
        <v>229</v>
      </c>
      <c r="N38" s="22">
        <v>0.0317</v>
      </c>
      <c r="O38" s="20">
        <v>29919.09</v>
      </c>
      <c r="Q38" s="20">
        <v>8</v>
      </c>
      <c r="R38" s="20" t="s">
        <v>323</v>
      </c>
      <c r="S38" s="22">
        <v>0.0405</v>
      </c>
      <c r="T38" s="20">
        <v>118.33</v>
      </c>
    </row>
    <row r="39" ht="15.75" spans="7:20">
      <c r="G39" s="20">
        <v>9</v>
      </c>
      <c r="H39" s="20" t="s">
        <v>304</v>
      </c>
      <c r="I39" s="22">
        <v>0.0374</v>
      </c>
      <c r="J39" s="20">
        <v>990</v>
      </c>
      <c r="L39" s="20">
        <v>9</v>
      </c>
      <c r="M39" s="20" t="s">
        <v>231</v>
      </c>
      <c r="N39" s="22">
        <v>0.0271</v>
      </c>
      <c r="O39" s="20">
        <v>25586.64</v>
      </c>
      <c r="Q39" s="20">
        <v>9</v>
      </c>
      <c r="R39" s="20" t="s">
        <v>287</v>
      </c>
      <c r="S39" s="22">
        <v>0.0372</v>
      </c>
      <c r="T39" s="20">
        <v>108.62</v>
      </c>
    </row>
    <row r="40" ht="15.75" spans="7:20">
      <c r="G40" s="20">
        <v>10</v>
      </c>
      <c r="H40" s="20" t="s">
        <v>307</v>
      </c>
      <c r="I40" s="22">
        <v>0.0331</v>
      </c>
      <c r="J40" s="20">
        <v>877.05</v>
      </c>
      <c r="L40" s="20">
        <v>10</v>
      </c>
      <c r="M40" s="20" t="s">
        <v>202</v>
      </c>
      <c r="N40" s="22">
        <v>0.0261</v>
      </c>
      <c r="O40" s="20">
        <v>24638.5</v>
      </c>
      <c r="Q40" s="20">
        <v>10</v>
      </c>
      <c r="R40" s="20" t="s">
        <v>439</v>
      </c>
      <c r="S40" s="22">
        <v>0.0364</v>
      </c>
      <c r="T40" s="20">
        <v>106.28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7"/>
  <sheetViews>
    <sheetView workbookViewId="0">
      <selection activeCell="G24" sqref="G24"/>
    </sheetView>
  </sheetViews>
  <sheetFormatPr defaultColWidth="9" defaultRowHeight="13.5"/>
  <sheetData>
    <row r="2" spans="1:1">
      <c r="A2">
        <v>519712</v>
      </c>
    </row>
    <row r="3" spans="1:1">
      <c r="A3" s="104" t="s">
        <v>458</v>
      </c>
    </row>
    <row r="4" spans="1:1">
      <c r="A4">
        <v>110011</v>
      </c>
    </row>
    <row r="5" spans="1:1">
      <c r="A5">
        <v>968006</v>
      </c>
    </row>
    <row r="6" spans="1:1">
      <c r="A6" s="104" t="s">
        <v>459</v>
      </c>
    </row>
    <row r="7" spans="1:1">
      <c r="A7">
        <v>519983</v>
      </c>
    </row>
    <row r="9" spans="1:1">
      <c r="A9" s="104" t="s">
        <v>460</v>
      </c>
    </row>
    <row r="10" spans="2:11"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2:11"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2:11"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ht="15" spans="1:11">
      <c r="A13" s="103" t="s">
        <v>461</v>
      </c>
      <c r="B13" s="31">
        <v>65.69</v>
      </c>
      <c r="C13" s="32">
        <v>2.59</v>
      </c>
      <c r="D13" s="31">
        <v>0.74</v>
      </c>
      <c r="E13" s="31">
        <v>12.88</v>
      </c>
      <c r="F13" s="31">
        <v>62.49</v>
      </c>
      <c r="G13" s="30"/>
      <c r="H13" s="30"/>
      <c r="I13" s="30"/>
      <c r="J13" s="30"/>
      <c r="K13" s="30"/>
    </row>
    <row r="14" ht="15" spans="1:11">
      <c r="A14">
        <v>213001</v>
      </c>
      <c r="B14" s="33">
        <v>58.68</v>
      </c>
      <c r="C14" s="34">
        <v>3.09</v>
      </c>
      <c r="D14" s="33">
        <v>0.23</v>
      </c>
      <c r="E14" s="33">
        <v>6.8</v>
      </c>
      <c r="F14" s="33">
        <v>42.13</v>
      </c>
      <c r="G14" s="33">
        <v>80.52</v>
      </c>
      <c r="H14" s="33">
        <v>154.72</v>
      </c>
      <c r="I14" s="33">
        <v>159.52</v>
      </c>
      <c r="J14" s="33">
        <v>240.2</v>
      </c>
      <c r="K14" s="30"/>
    </row>
    <row r="15" spans="2:11"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2:11"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2:11">
      <c r="B17" s="30"/>
      <c r="C17" s="30"/>
      <c r="D17" s="30"/>
      <c r="E17" s="30"/>
      <c r="F17" s="30"/>
      <c r="G17" s="30"/>
      <c r="H17" s="30"/>
      <c r="I17" s="30"/>
      <c r="J17" s="30"/>
      <c r="K17" s="30"/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D32" sqref="D32"/>
    </sheetView>
  </sheetViews>
  <sheetFormatPr defaultColWidth="9" defaultRowHeight="13.5"/>
  <cols>
    <col min="10" max="10" width="9.375"/>
  </cols>
  <sheetData>
    <row r="1" ht="15.75" spans="2:15">
      <c r="B1" s="20"/>
      <c r="C1" s="21"/>
      <c r="D1" s="22"/>
      <c r="E1" s="20"/>
      <c r="F1" s="103" t="s">
        <v>462</v>
      </c>
      <c r="G1" s="20">
        <v>1</v>
      </c>
      <c r="H1" s="21" t="s">
        <v>221</v>
      </c>
      <c r="I1" s="22">
        <v>0.102</v>
      </c>
      <c r="J1" s="20">
        <v>1792.89</v>
      </c>
      <c r="L1" s="20"/>
      <c r="M1" s="21"/>
      <c r="N1" s="22"/>
      <c r="O1" s="20"/>
    </row>
    <row r="2" ht="15.75" spans="2:15">
      <c r="B2" s="20"/>
      <c r="C2" s="21"/>
      <c r="D2" s="22"/>
      <c r="E2" s="20"/>
      <c r="F2">
        <v>22.53</v>
      </c>
      <c r="G2" s="20">
        <v>2</v>
      </c>
      <c r="H2" s="20" t="s">
        <v>186</v>
      </c>
      <c r="I2" s="22">
        <v>0.099</v>
      </c>
      <c r="J2" s="20">
        <v>1740.83</v>
      </c>
      <c r="L2" s="20"/>
      <c r="M2" s="20"/>
      <c r="N2" s="22"/>
      <c r="O2" s="20"/>
    </row>
    <row r="3" ht="15.75" spans="2:15">
      <c r="B3" s="20"/>
      <c r="C3" s="21"/>
      <c r="D3" s="22"/>
      <c r="E3" s="20"/>
      <c r="G3" s="20">
        <v>3</v>
      </c>
      <c r="H3" s="21" t="s">
        <v>463</v>
      </c>
      <c r="I3" s="22">
        <v>0.0973</v>
      </c>
      <c r="J3" s="20">
        <v>1711.51</v>
      </c>
      <c r="L3" s="20"/>
      <c r="M3" s="20"/>
      <c r="N3" s="22"/>
      <c r="O3" s="20"/>
    </row>
    <row r="4" ht="15.75" spans="2:15">
      <c r="B4" s="20"/>
      <c r="C4" s="20"/>
      <c r="D4" s="22"/>
      <c r="E4" s="20"/>
      <c r="G4" s="20">
        <v>4</v>
      </c>
      <c r="H4" s="20" t="s">
        <v>193</v>
      </c>
      <c r="I4" s="22">
        <v>0.0463</v>
      </c>
      <c r="J4" s="20">
        <v>814.53</v>
      </c>
      <c r="L4" s="20"/>
      <c r="M4" s="20"/>
      <c r="N4" s="22"/>
      <c r="O4" s="20"/>
    </row>
    <row r="5" ht="15.75" spans="2:15">
      <c r="B5" s="20"/>
      <c r="C5" s="21"/>
      <c r="D5" s="22"/>
      <c r="E5" s="20"/>
      <c r="G5" s="20">
        <v>5</v>
      </c>
      <c r="H5" s="20" t="s">
        <v>300</v>
      </c>
      <c r="I5" s="22">
        <v>0.0371</v>
      </c>
      <c r="J5" s="20">
        <v>652.25</v>
      </c>
      <c r="L5" s="20"/>
      <c r="M5" s="20"/>
      <c r="N5" s="22"/>
      <c r="O5" s="20"/>
    </row>
    <row r="6" ht="15.75" spans="2:15">
      <c r="B6" s="24"/>
      <c r="C6" s="25"/>
      <c r="D6" s="26"/>
      <c r="E6" s="24"/>
      <c r="G6" s="20">
        <v>6</v>
      </c>
      <c r="H6" s="20" t="s">
        <v>235</v>
      </c>
      <c r="I6" s="22">
        <v>0.0347</v>
      </c>
      <c r="J6" s="20">
        <v>609.84</v>
      </c>
      <c r="L6" s="20"/>
      <c r="M6" s="20"/>
      <c r="N6" s="22"/>
      <c r="O6" s="20"/>
    </row>
    <row r="7" ht="15.75" spans="2:15">
      <c r="B7" s="20"/>
      <c r="C7" s="20"/>
      <c r="D7" s="22"/>
      <c r="E7" s="20"/>
      <c r="G7" s="20">
        <v>7</v>
      </c>
      <c r="H7" s="20" t="s">
        <v>464</v>
      </c>
      <c r="I7" s="22">
        <v>0.0337</v>
      </c>
      <c r="J7" s="20">
        <v>592.22</v>
      </c>
      <c r="L7" s="20"/>
      <c r="M7" s="20"/>
      <c r="N7" s="22"/>
      <c r="O7" s="20"/>
    </row>
    <row r="8" ht="15.75" spans="2:15">
      <c r="B8" s="20"/>
      <c r="C8" s="20"/>
      <c r="D8" s="22"/>
      <c r="E8" s="20"/>
      <c r="G8" s="20">
        <v>8</v>
      </c>
      <c r="H8" s="20" t="s">
        <v>465</v>
      </c>
      <c r="I8" s="22">
        <v>0.0312</v>
      </c>
      <c r="J8" s="20">
        <v>549.47</v>
      </c>
      <c r="L8" s="20"/>
      <c r="M8" s="20"/>
      <c r="N8" s="22"/>
      <c r="O8" s="20"/>
    </row>
    <row r="9" ht="15.75" spans="2:15">
      <c r="B9" s="20"/>
      <c r="C9" s="20"/>
      <c r="D9" s="22"/>
      <c r="E9" s="20"/>
      <c r="G9" s="20">
        <v>9</v>
      </c>
      <c r="H9" s="21" t="s">
        <v>371</v>
      </c>
      <c r="I9" s="22">
        <v>0.026</v>
      </c>
      <c r="J9" s="20">
        <v>457.97</v>
      </c>
      <c r="L9" s="20"/>
      <c r="M9" s="20"/>
      <c r="N9" s="22"/>
      <c r="O9" s="20"/>
    </row>
    <row r="10" ht="15.75" spans="2:15">
      <c r="B10" s="20"/>
      <c r="C10" s="20"/>
      <c r="D10" s="22"/>
      <c r="E10" s="20"/>
      <c r="G10" s="24">
        <v>10</v>
      </c>
      <c r="H10" s="24" t="s">
        <v>466</v>
      </c>
      <c r="I10" s="26">
        <v>0.0241</v>
      </c>
      <c r="J10" s="24">
        <v>424.63</v>
      </c>
      <c r="L10" s="24"/>
      <c r="M10" s="24"/>
      <c r="N10" s="26"/>
      <c r="O10" s="24"/>
    </row>
    <row r="11" ht="15.75" spans="1:10">
      <c r="A11" s="104" t="s">
        <v>467</v>
      </c>
      <c r="B11" s="20">
        <v>1</v>
      </c>
      <c r="C11" s="21" t="s">
        <v>282</v>
      </c>
      <c r="D11" s="22">
        <v>0.0933</v>
      </c>
      <c r="E11" s="20">
        <v>40061.16</v>
      </c>
      <c r="F11" s="23">
        <v>519712</v>
      </c>
      <c r="G11" s="20">
        <v>1</v>
      </c>
      <c r="H11" s="21" t="s">
        <v>371</v>
      </c>
      <c r="I11" s="22">
        <v>0.0911</v>
      </c>
      <c r="J11" s="20">
        <v>90314.39</v>
      </c>
    </row>
    <row r="12" ht="15.75" spans="1:10">
      <c r="A12">
        <v>39.92</v>
      </c>
      <c r="B12" s="20">
        <v>2</v>
      </c>
      <c r="C12" s="21" t="s">
        <v>468</v>
      </c>
      <c r="D12" s="22">
        <v>0.0916</v>
      </c>
      <c r="E12" s="20">
        <v>39355.96</v>
      </c>
      <c r="F12">
        <v>14.65</v>
      </c>
      <c r="G12" s="20">
        <v>2</v>
      </c>
      <c r="H12" s="20" t="s">
        <v>239</v>
      </c>
      <c r="I12" s="22">
        <v>0.0707</v>
      </c>
      <c r="J12" s="20">
        <v>70072.08</v>
      </c>
    </row>
    <row r="13" ht="15.75" spans="2:10">
      <c r="B13" s="20">
        <v>3</v>
      </c>
      <c r="C13" s="21" t="s">
        <v>221</v>
      </c>
      <c r="D13" s="22">
        <v>0.0796</v>
      </c>
      <c r="E13" s="20">
        <v>34183.46</v>
      </c>
      <c r="G13" s="20">
        <v>3</v>
      </c>
      <c r="H13" s="21" t="s">
        <v>251</v>
      </c>
      <c r="I13" s="22">
        <v>0.0554</v>
      </c>
      <c r="J13" s="20">
        <v>54900.13</v>
      </c>
    </row>
    <row r="14" ht="15.75" spans="2:10">
      <c r="B14" s="20">
        <v>4</v>
      </c>
      <c r="C14" s="21" t="s">
        <v>299</v>
      </c>
      <c r="D14" s="22">
        <v>0.0686</v>
      </c>
      <c r="E14" s="20">
        <v>29476.21</v>
      </c>
      <c r="G14" s="20">
        <v>4</v>
      </c>
      <c r="H14" s="20" t="s">
        <v>469</v>
      </c>
      <c r="I14" s="22">
        <v>0.0504</v>
      </c>
      <c r="J14" s="20">
        <v>49919.14</v>
      </c>
    </row>
    <row r="15" ht="15.75" spans="2:10">
      <c r="B15" s="20">
        <v>5</v>
      </c>
      <c r="C15" s="20" t="s">
        <v>470</v>
      </c>
      <c r="D15" s="22">
        <v>0.0613</v>
      </c>
      <c r="E15" s="20">
        <v>26320</v>
      </c>
      <c r="G15" s="20">
        <v>5</v>
      </c>
      <c r="H15" s="20" t="s">
        <v>471</v>
      </c>
      <c r="I15" s="22">
        <v>0.0452</v>
      </c>
      <c r="J15" s="20">
        <v>44822.89</v>
      </c>
    </row>
    <row r="16" ht="15.75" spans="2:10">
      <c r="B16" s="20">
        <v>6</v>
      </c>
      <c r="C16" s="20" t="s">
        <v>472</v>
      </c>
      <c r="D16" s="22">
        <v>0.0448</v>
      </c>
      <c r="E16" s="20">
        <v>19252.42</v>
      </c>
      <c r="G16" s="20">
        <v>6</v>
      </c>
      <c r="H16" s="20" t="s">
        <v>473</v>
      </c>
      <c r="I16" s="22">
        <v>0.044</v>
      </c>
      <c r="J16" s="20">
        <v>43657.21</v>
      </c>
    </row>
    <row r="17" ht="15.75" spans="2:10">
      <c r="B17" s="20">
        <v>7</v>
      </c>
      <c r="C17" s="20" t="s">
        <v>465</v>
      </c>
      <c r="D17" s="22">
        <v>0.0443</v>
      </c>
      <c r="E17" s="20">
        <v>19019.9</v>
      </c>
      <c r="G17" s="20">
        <v>7</v>
      </c>
      <c r="H17" s="20" t="s">
        <v>359</v>
      </c>
      <c r="I17" s="22">
        <v>0.0321</v>
      </c>
      <c r="J17" s="20">
        <v>31806.36</v>
      </c>
    </row>
    <row r="18" ht="15.75" spans="2:10">
      <c r="B18" s="20">
        <v>8</v>
      </c>
      <c r="C18" s="21" t="s">
        <v>463</v>
      </c>
      <c r="D18" s="22">
        <v>0.0411</v>
      </c>
      <c r="E18" s="20">
        <v>17664</v>
      </c>
      <c r="G18" s="20">
        <v>8</v>
      </c>
      <c r="H18" s="20" t="s">
        <v>474</v>
      </c>
      <c r="I18" s="22">
        <v>0.0303</v>
      </c>
      <c r="J18" s="20">
        <v>30030.2</v>
      </c>
    </row>
    <row r="19" ht="15.75" spans="2:10">
      <c r="B19" s="24">
        <v>9</v>
      </c>
      <c r="C19" s="24" t="s">
        <v>469</v>
      </c>
      <c r="D19" s="26">
        <v>0.0281</v>
      </c>
      <c r="E19" s="24">
        <v>12055.6</v>
      </c>
      <c r="G19" s="24">
        <v>9</v>
      </c>
      <c r="H19" s="24" t="s">
        <v>475</v>
      </c>
      <c r="I19" s="26">
        <v>0.0302</v>
      </c>
      <c r="J19" s="24">
        <v>29893.98</v>
      </c>
    </row>
    <row r="20" ht="15.75" spans="2:10">
      <c r="B20" s="20">
        <v>10</v>
      </c>
      <c r="C20" s="21" t="s">
        <v>251</v>
      </c>
      <c r="D20" s="22">
        <v>0.025</v>
      </c>
      <c r="E20" s="20">
        <v>10724.21</v>
      </c>
      <c r="G20" s="20">
        <v>10</v>
      </c>
      <c r="H20" s="20" t="s">
        <v>242</v>
      </c>
      <c r="I20" s="22">
        <v>0.0283</v>
      </c>
      <c r="J20" s="20">
        <v>28095.74</v>
      </c>
    </row>
    <row r="23" spans="1:1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15" spans="1:13">
      <c r="A24" s="27">
        <v>519712</v>
      </c>
      <c r="B24" s="28">
        <v>25.2</v>
      </c>
      <c r="C24" s="28">
        <v>-0.61</v>
      </c>
      <c r="D24" s="29">
        <v>-2.53</v>
      </c>
      <c r="E24" s="29">
        <v>11.23</v>
      </c>
      <c r="F24" s="29">
        <v>26.31</v>
      </c>
      <c r="G24" s="28">
        <v>33.87</v>
      </c>
      <c r="H24" s="28">
        <v>73.26</v>
      </c>
      <c r="I24" s="28">
        <v>99.46</v>
      </c>
      <c r="J24" s="28">
        <v>204.4</v>
      </c>
      <c r="K24" s="27"/>
      <c r="L24" s="27"/>
      <c r="M24" s="27"/>
    </row>
    <row r="25" ht="15" spans="1:13">
      <c r="A25" s="116" t="s">
        <v>462</v>
      </c>
      <c r="B25" s="28">
        <v>20.98</v>
      </c>
      <c r="C25" s="29">
        <v>-0.86</v>
      </c>
      <c r="D25" s="28">
        <v>-0.86</v>
      </c>
      <c r="E25" s="28">
        <v>17.76</v>
      </c>
      <c r="F25" s="28">
        <v>37.13</v>
      </c>
      <c r="G25" s="29">
        <v>28.03</v>
      </c>
      <c r="H25" s="29">
        <v>55.45</v>
      </c>
      <c r="I25" s="29">
        <v>59.27</v>
      </c>
      <c r="J25" s="29">
        <v>107.39</v>
      </c>
      <c r="K25" s="27"/>
      <c r="L25" s="27"/>
      <c r="M25" s="27"/>
    </row>
    <row r="26" ht="15" spans="1:13">
      <c r="A26" s="116" t="s">
        <v>467</v>
      </c>
      <c r="B26" s="29">
        <v>4.24</v>
      </c>
      <c r="C26" s="28">
        <v>-0.62</v>
      </c>
      <c r="D26" s="29">
        <v>-2.07</v>
      </c>
      <c r="E26" s="29">
        <v>12.82</v>
      </c>
      <c r="F26" s="29">
        <v>23.06</v>
      </c>
      <c r="G26" s="29">
        <v>12.55</v>
      </c>
      <c r="H26" s="29">
        <v>33.56</v>
      </c>
      <c r="I26" s="29">
        <v>29.56</v>
      </c>
      <c r="J26" s="29">
        <v>80.91</v>
      </c>
      <c r="K26" s="27"/>
      <c r="L26" s="27"/>
      <c r="M26" s="27"/>
    </row>
    <row r="27" spans="1:1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opLeftCell="A53" workbookViewId="0">
      <selection activeCell="G63" sqref="G63"/>
    </sheetView>
  </sheetViews>
  <sheetFormatPr defaultColWidth="9" defaultRowHeight="13.5"/>
  <cols>
    <col min="1" max="12" width="9.375" style="11" customWidth="1"/>
    <col min="13" max="16384" width="9" style="11"/>
  </cols>
  <sheetData>
    <row r="1" spans="2:12">
      <c r="B1" s="12" t="s">
        <v>476</v>
      </c>
      <c r="C1" s="12" t="s">
        <v>477</v>
      </c>
      <c r="D1" s="12"/>
      <c r="E1" s="12"/>
      <c r="F1" s="12" t="s">
        <v>478</v>
      </c>
      <c r="G1" s="12" t="s">
        <v>479</v>
      </c>
      <c r="H1" s="12" t="s">
        <v>480</v>
      </c>
      <c r="I1" s="12" t="s">
        <v>481</v>
      </c>
      <c r="J1" s="12" t="s">
        <v>482</v>
      </c>
      <c r="K1" s="12" t="s">
        <v>483</v>
      </c>
      <c r="L1" s="12" t="s">
        <v>484</v>
      </c>
    </row>
    <row r="2" ht="14.25" spans="2:13">
      <c r="B2" s="13" t="s">
        <v>393</v>
      </c>
      <c r="C2" s="13" t="s">
        <v>485</v>
      </c>
      <c r="D2" s="13"/>
      <c r="E2" s="13"/>
      <c r="F2" s="13" t="s">
        <v>486</v>
      </c>
      <c r="G2" s="13" t="s">
        <v>487</v>
      </c>
      <c r="H2" s="13" t="s">
        <v>488</v>
      </c>
      <c r="I2" s="13" t="s">
        <v>489</v>
      </c>
      <c r="J2" s="13" t="s">
        <v>490</v>
      </c>
      <c r="K2" s="13" t="s">
        <v>491</v>
      </c>
      <c r="L2" s="13" t="s">
        <v>492</v>
      </c>
      <c r="M2" s="11" t="s">
        <v>493</v>
      </c>
    </row>
    <row r="3" ht="15" spans="1:13">
      <c r="A3" s="117" t="s">
        <v>444</v>
      </c>
      <c r="B3" s="14" t="s">
        <v>494</v>
      </c>
      <c r="C3" s="15" t="s">
        <v>495</v>
      </c>
      <c r="D3" s="15"/>
      <c r="E3" s="118" t="s">
        <v>444</v>
      </c>
      <c r="F3" s="14" t="s">
        <v>496</v>
      </c>
      <c r="G3" s="14" t="s">
        <v>497</v>
      </c>
      <c r="H3" s="14" t="s">
        <v>498</v>
      </c>
      <c r="I3" s="14" t="s">
        <v>499</v>
      </c>
      <c r="J3" s="14" t="s">
        <v>500</v>
      </c>
      <c r="K3" s="14" t="s">
        <v>501</v>
      </c>
      <c r="L3" s="15" t="s">
        <v>502</v>
      </c>
      <c r="M3" s="11">
        <v>7</v>
      </c>
    </row>
    <row r="4" ht="15" spans="1:13">
      <c r="A4" s="117" t="s">
        <v>309</v>
      </c>
      <c r="B4" s="14" t="s">
        <v>503</v>
      </c>
      <c r="C4" s="15" t="s">
        <v>504</v>
      </c>
      <c r="D4" s="17"/>
      <c r="E4" s="118" t="s">
        <v>309</v>
      </c>
      <c r="F4" s="14" t="s">
        <v>505</v>
      </c>
      <c r="G4" s="14" t="s">
        <v>506</v>
      </c>
      <c r="H4" s="14" t="s">
        <v>507</v>
      </c>
      <c r="I4" s="14" t="s">
        <v>508</v>
      </c>
      <c r="J4" s="14" t="s">
        <v>509</v>
      </c>
      <c r="K4" s="14" t="s">
        <v>510</v>
      </c>
      <c r="L4" s="14" t="s">
        <v>511</v>
      </c>
      <c r="M4" s="11">
        <v>8</v>
      </c>
    </row>
    <row r="5" ht="15" spans="1:11">
      <c r="A5" s="117" t="s">
        <v>512</v>
      </c>
      <c r="B5" s="14" t="s">
        <v>513</v>
      </c>
      <c r="C5" s="15" t="s">
        <v>514</v>
      </c>
      <c r="D5" s="15"/>
      <c r="E5" s="118" t="s">
        <v>512</v>
      </c>
      <c r="F5" s="14" t="s">
        <v>515</v>
      </c>
      <c r="G5" s="14" t="s">
        <v>516</v>
      </c>
      <c r="H5" s="14" t="s">
        <v>517</v>
      </c>
      <c r="I5" s="14" t="s">
        <v>518</v>
      </c>
      <c r="J5" s="14" t="s">
        <v>519</v>
      </c>
      <c r="K5" s="14" t="s">
        <v>520</v>
      </c>
    </row>
    <row r="6" ht="15" spans="1:13">
      <c r="A6" s="18">
        <v>570001</v>
      </c>
      <c r="B6" s="14" t="s">
        <v>521</v>
      </c>
      <c r="C6" s="14" t="s">
        <v>522</v>
      </c>
      <c r="D6" s="14"/>
      <c r="E6" s="18">
        <v>570001</v>
      </c>
      <c r="F6" s="15" t="s">
        <v>523</v>
      </c>
      <c r="G6" s="14" t="s">
        <v>524</v>
      </c>
      <c r="H6" s="14" t="s">
        <v>525</v>
      </c>
      <c r="I6" s="14" t="s">
        <v>526</v>
      </c>
      <c r="J6" s="14" t="s">
        <v>527</v>
      </c>
      <c r="K6" s="14" t="s">
        <v>528</v>
      </c>
      <c r="L6" s="14" t="s">
        <v>529</v>
      </c>
      <c r="M6" s="11">
        <v>8</v>
      </c>
    </row>
    <row r="7" ht="15" spans="1:13">
      <c r="A7" s="18">
        <v>481010</v>
      </c>
      <c r="B7" s="14" t="s">
        <v>530</v>
      </c>
      <c r="C7" s="15" t="s">
        <v>531</v>
      </c>
      <c r="D7" s="15"/>
      <c r="E7" s="18">
        <v>481010</v>
      </c>
      <c r="F7" s="15" t="s">
        <v>532</v>
      </c>
      <c r="G7" s="14" t="s">
        <v>533</v>
      </c>
      <c r="H7" s="14" t="s">
        <v>534</v>
      </c>
      <c r="I7" s="14" t="s">
        <v>535</v>
      </c>
      <c r="J7" s="14" t="s">
        <v>536</v>
      </c>
      <c r="K7" s="14" t="s">
        <v>537</v>
      </c>
      <c r="L7" s="15" t="s">
        <v>538</v>
      </c>
      <c r="M7" s="11">
        <v>6</v>
      </c>
    </row>
    <row r="8" ht="15" spans="1:13">
      <c r="A8" s="18">
        <v>100060</v>
      </c>
      <c r="B8" s="14" t="s">
        <v>539</v>
      </c>
      <c r="C8" s="15" t="s">
        <v>540</v>
      </c>
      <c r="D8" s="15"/>
      <c r="E8" s="18">
        <v>100060</v>
      </c>
      <c r="F8" s="15" t="s">
        <v>541</v>
      </c>
      <c r="G8" s="14" t="s">
        <v>542</v>
      </c>
      <c r="H8" s="14" t="s">
        <v>543</v>
      </c>
      <c r="I8" s="14" t="s">
        <v>544</v>
      </c>
      <c r="J8" s="14" t="s">
        <v>545</v>
      </c>
      <c r="K8" s="14" t="s">
        <v>546</v>
      </c>
      <c r="L8" s="14" t="s">
        <v>547</v>
      </c>
      <c r="M8" s="11">
        <v>7</v>
      </c>
    </row>
    <row r="9" ht="15" spans="1:12">
      <c r="A9" s="117" t="s">
        <v>548</v>
      </c>
      <c r="B9" s="14" t="s">
        <v>549</v>
      </c>
      <c r="C9" s="15" t="s">
        <v>550</v>
      </c>
      <c r="D9" s="15"/>
      <c r="E9" s="117" t="s">
        <v>548</v>
      </c>
      <c r="F9" s="15" t="s">
        <v>551</v>
      </c>
      <c r="G9" s="14" t="s">
        <v>552</v>
      </c>
      <c r="H9" s="14" t="s">
        <v>553</v>
      </c>
      <c r="I9" s="14" t="s">
        <v>554</v>
      </c>
      <c r="J9" s="14" t="s">
        <v>555</v>
      </c>
      <c r="K9" s="14" t="s">
        <v>556</v>
      </c>
      <c r="L9" s="11">
        <v>6</v>
      </c>
    </row>
    <row r="10" ht="15" spans="1:13">
      <c r="A10" s="117" t="s">
        <v>286</v>
      </c>
      <c r="B10" s="14" t="s">
        <v>557</v>
      </c>
      <c r="C10" s="15" t="s">
        <v>558</v>
      </c>
      <c r="D10" s="15"/>
      <c r="E10" s="117" t="s">
        <v>286</v>
      </c>
      <c r="F10" s="15" t="s">
        <v>559</v>
      </c>
      <c r="G10" s="14" t="s">
        <v>560</v>
      </c>
      <c r="H10" s="14" t="s">
        <v>561</v>
      </c>
      <c r="I10" s="14" t="s">
        <v>562</v>
      </c>
      <c r="J10" s="14" t="s">
        <v>563</v>
      </c>
      <c r="K10" s="14" t="s">
        <v>564</v>
      </c>
      <c r="L10" s="14" t="s">
        <v>565</v>
      </c>
      <c r="M10" s="11">
        <v>7</v>
      </c>
    </row>
    <row r="11" ht="15" hidden="1" spans="1:13">
      <c r="A11" s="18">
        <v>161616</v>
      </c>
      <c r="B11" s="14" t="s">
        <v>566</v>
      </c>
      <c r="C11" s="14" t="s">
        <v>567</v>
      </c>
      <c r="D11" s="14"/>
      <c r="E11" s="18">
        <v>161616</v>
      </c>
      <c r="F11" s="15" t="s">
        <v>568</v>
      </c>
      <c r="G11" s="15" t="s">
        <v>569</v>
      </c>
      <c r="H11" s="14" t="s">
        <v>570</v>
      </c>
      <c r="I11" s="14" t="s">
        <v>571</v>
      </c>
      <c r="J11" s="14" t="s">
        <v>572</v>
      </c>
      <c r="K11" s="14" t="s">
        <v>573</v>
      </c>
      <c r="L11" s="15" t="s">
        <v>574</v>
      </c>
      <c r="M11" s="11">
        <v>6</v>
      </c>
    </row>
    <row r="12" ht="16" hidden="1" customHeight="1" spans="1:13">
      <c r="A12" s="117" t="s">
        <v>575</v>
      </c>
      <c r="B12" s="14" t="s">
        <v>576</v>
      </c>
      <c r="C12" s="14" t="s">
        <v>577</v>
      </c>
      <c r="D12" s="14"/>
      <c r="E12" s="117" t="s">
        <v>575</v>
      </c>
      <c r="F12" s="15" t="s">
        <v>578</v>
      </c>
      <c r="G12" s="15" t="s">
        <v>579</v>
      </c>
      <c r="H12" s="14" t="s">
        <v>580</v>
      </c>
      <c r="I12" s="14" t="s">
        <v>581</v>
      </c>
      <c r="J12" s="15" t="s">
        <v>582</v>
      </c>
      <c r="K12" s="15" t="s">
        <v>583</v>
      </c>
      <c r="L12" s="15" t="s">
        <v>584</v>
      </c>
      <c r="M12" s="11">
        <v>4</v>
      </c>
    </row>
    <row r="13" ht="15" hidden="1" spans="1:13">
      <c r="A13" s="18">
        <v>398051</v>
      </c>
      <c r="B13" s="14" t="s">
        <v>585</v>
      </c>
      <c r="C13" s="15" t="s">
        <v>586</v>
      </c>
      <c r="D13" s="15"/>
      <c r="E13" s="18">
        <v>398051</v>
      </c>
      <c r="F13" s="14" t="s">
        <v>587</v>
      </c>
      <c r="G13" s="14" t="s">
        <v>588</v>
      </c>
      <c r="H13" s="14" t="s">
        <v>589</v>
      </c>
      <c r="I13" s="14" t="s">
        <v>590</v>
      </c>
      <c r="J13" s="15" t="s">
        <v>591</v>
      </c>
      <c r="K13" s="15" t="s">
        <v>592</v>
      </c>
      <c r="L13" s="15" t="s">
        <v>593</v>
      </c>
      <c r="M13" s="11">
        <v>5</v>
      </c>
    </row>
    <row r="14" ht="15" hidden="1" spans="1:13">
      <c r="A14" s="117" t="s">
        <v>594</v>
      </c>
      <c r="B14" s="15" t="s">
        <v>595</v>
      </c>
      <c r="C14" s="15" t="s">
        <v>596</v>
      </c>
      <c r="D14" s="15"/>
      <c r="E14" s="117" t="s">
        <v>594</v>
      </c>
      <c r="F14" s="15" t="s">
        <v>597</v>
      </c>
      <c r="G14" s="14" t="s">
        <v>598</v>
      </c>
      <c r="H14" s="14" t="s">
        <v>599</v>
      </c>
      <c r="I14" s="15" t="s">
        <v>600</v>
      </c>
      <c r="J14" s="15" t="s">
        <v>601</v>
      </c>
      <c r="K14" s="15" t="s">
        <v>602</v>
      </c>
      <c r="L14" s="15" t="s">
        <v>603</v>
      </c>
      <c r="M14" s="11">
        <v>2</v>
      </c>
    </row>
    <row r="15" ht="15" hidden="1" spans="1:13">
      <c r="A15" s="117" t="s">
        <v>604</v>
      </c>
      <c r="B15" s="14" t="s">
        <v>605</v>
      </c>
      <c r="C15" s="15" t="s">
        <v>606</v>
      </c>
      <c r="D15" s="15"/>
      <c r="E15" s="117" t="s">
        <v>604</v>
      </c>
      <c r="F15" s="15" t="s">
        <v>607</v>
      </c>
      <c r="G15" s="14" t="s">
        <v>608</v>
      </c>
      <c r="H15" s="14" t="s">
        <v>609</v>
      </c>
      <c r="I15" s="14" t="s">
        <v>610</v>
      </c>
      <c r="J15" s="15" t="s">
        <v>611</v>
      </c>
      <c r="K15" s="15" t="s">
        <v>612</v>
      </c>
      <c r="L15" s="15" t="s">
        <v>613</v>
      </c>
      <c r="M15" s="11">
        <v>4</v>
      </c>
    </row>
    <row r="16" ht="15" hidden="1" spans="1:13">
      <c r="A16" s="18">
        <v>180012</v>
      </c>
      <c r="B16" s="14" t="s">
        <v>614</v>
      </c>
      <c r="C16" s="14" t="s">
        <v>615</v>
      </c>
      <c r="D16" s="14"/>
      <c r="E16" s="18">
        <v>180012</v>
      </c>
      <c r="F16" s="15" t="s">
        <v>616</v>
      </c>
      <c r="G16" s="15" t="s">
        <v>617</v>
      </c>
      <c r="H16" s="14" t="s">
        <v>618</v>
      </c>
      <c r="I16" s="15" t="s">
        <v>619</v>
      </c>
      <c r="J16" s="14" t="s">
        <v>620</v>
      </c>
      <c r="K16" s="14" t="s">
        <v>621</v>
      </c>
      <c r="L16" s="14" t="s">
        <v>622</v>
      </c>
      <c r="M16" s="11">
        <v>6</v>
      </c>
    </row>
    <row r="17" ht="15" spans="1:13">
      <c r="A17" s="18">
        <v>162605</v>
      </c>
      <c r="B17" s="14" t="s">
        <v>623</v>
      </c>
      <c r="C17" s="14" t="s">
        <v>624</v>
      </c>
      <c r="D17" s="14"/>
      <c r="E17" s="18">
        <v>162605</v>
      </c>
      <c r="F17" s="15" t="s">
        <v>625</v>
      </c>
      <c r="G17" s="14" t="s">
        <v>626</v>
      </c>
      <c r="H17" s="14" t="s">
        <v>627</v>
      </c>
      <c r="I17" s="14" t="s">
        <v>628</v>
      </c>
      <c r="J17" s="14" t="s">
        <v>629</v>
      </c>
      <c r="K17" s="14" t="s">
        <v>630</v>
      </c>
      <c r="L17" s="14" t="s">
        <v>631</v>
      </c>
      <c r="M17" s="11">
        <v>8</v>
      </c>
    </row>
    <row r="18" ht="15" hidden="1" spans="1:13">
      <c r="A18" s="117" t="s">
        <v>632</v>
      </c>
      <c r="B18" s="14" t="s">
        <v>633</v>
      </c>
      <c r="C18" s="14" t="s">
        <v>634</v>
      </c>
      <c r="D18" s="14"/>
      <c r="E18" s="117" t="s">
        <v>632</v>
      </c>
      <c r="F18" s="15" t="s">
        <v>635</v>
      </c>
      <c r="G18" s="15" t="s">
        <v>636</v>
      </c>
      <c r="H18" s="14" t="s">
        <v>637</v>
      </c>
      <c r="I18" s="14" t="s">
        <v>638</v>
      </c>
      <c r="J18" s="14" t="s">
        <v>639</v>
      </c>
      <c r="K18" s="14" t="s">
        <v>640</v>
      </c>
      <c r="L18" s="14" t="s">
        <v>641</v>
      </c>
      <c r="M18" s="11">
        <v>7</v>
      </c>
    </row>
    <row r="19" ht="15" spans="1:13">
      <c r="A19" s="18">
        <v>110011</v>
      </c>
      <c r="B19" s="15" t="s">
        <v>642</v>
      </c>
      <c r="C19" s="15" t="s">
        <v>643</v>
      </c>
      <c r="D19" s="15"/>
      <c r="E19" s="18">
        <v>110011</v>
      </c>
      <c r="F19" s="15" t="s">
        <v>644</v>
      </c>
      <c r="G19" s="14" t="s">
        <v>645</v>
      </c>
      <c r="H19" s="14" t="s">
        <v>646</v>
      </c>
      <c r="I19" s="15" t="s">
        <v>647</v>
      </c>
      <c r="J19" s="14" t="s">
        <v>648</v>
      </c>
      <c r="K19" s="14" t="s">
        <v>649</v>
      </c>
      <c r="L19" s="14" t="s">
        <v>650</v>
      </c>
      <c r="M19" s="11">
        <v>5</v>
      </c>
    </row>
    <row r="20" ht="15" spans="1:13">
      <c r="A20" s="117" t="s">
        <v>651</v>
      </c>
      <c r="B20" s="14" t="s">
        <v>652</v>
      </c>
      <c r="C20" s="14" t="s">
        <v>653</v>
      </c>
      <c r="D20" s="14"/>
      <c r="E20" s="117" t="s">
        <v>651</v>
      </c>
      <c r="F20" s="15" t="s">
        <v>654</v>
      </c>
      <c r="G20" s="14" t="s">
        <v>655</v>
      </c>
      <c r="H20" s="14" t="s">
        <v>656</v>
      </c>
      <c r="I20" s="14" t="s">
        <v>657</v>
      </c>
      <c r="J20" s="14" t="s">
        <v>658</v>
      </c>
      <c r="K20" s="14" t="s">
        <v>659</v>
      </c>
      <c r="L20" s="14" t="s">
        <v>660</v>
      </c>
      <c r="M20" s="11">
        <v>8</v>
      </c>
    </row>
    <row r="21" ht="15" hidden="1" spans="1:13">
      <c r="A21" s="18">
        <v>519732</v>
      </c>
      <c r="B21" s="15" t="s">
        <v>661</v>
      </c>
      <c r="C21" s="15" t="s">
        <v>662</v>
      </c>
      <c r="D21" s="15"/>
      <c r="E21" s="18">
        <v>519732</v>
      </c>
      <c r="F21" s="15" t="s">
        <v>663</v>
      </c>
      <c r="G21" s="15" t="s">
        <v>664</v>
      </c>
      <c r="H21" s="15" t="s">
        <v>665</v>
      </c>
      <c r="I21" s="15" t="s">
        <v>666</v>
      </c>
      <c r="J21" s="15" t="s">
        <v>667</v>
      </c>
      <c r="K21" s="14" t="s">
        <v>668</v>
      </c>
      <c r="L21" s="14" t="s">
        <v>669</v>
      </c>
      <c r="M21" s="11">
        <v>2</v>
      </c>
    </row>
    <row r="22" ht="15" hidden="1" spans="1:13">
      <c r="A22" s="18">
        <v>200012</v>
      </c>
      <c r="B22" s="14" t="s">
        <v>670</v>
      </c>
      <c r="C22" s="15" t="s">
        <v>671</v>
      </c>
      <c r="D22" s="15"/>
      <c r="E22" s="18">
        <v>200012</v>
      </c>
      <c r="F22" s="15" t="s">
        <v>672</v>
      </c>
      <c r="G22" s="15" t="s">
        <v>673</v>
      </c>
      <c r="H22" s="14" t="s">
        <v>674</v>
      </c>
      <c r="I22" s="14" t="s">
        <v>675</v>
      </c>
      <c r="J22" s="14" t="s">
        <v>676</v>
      </c>
      <c r="K22" s="14" t="s">
        <v>677</v>
      </c>
      <c r="L22" s="14" t="s">
        <v>678</v>
      </c>
      <c r="M22" s="11">
        <v>6</v>
      </c>
    </row>
    <row r="23" ht="15" hidden="1" spans="1:13">
      <c r="A23" s="12" t="s">
        <v>679</v>
      </c>
      <c r="B23" s="14" t="s">
        <v>680</v>
      </c>
      <c r="C23" s="14" t="s">
        <v>681</v>
      </c>
      <c r="D23" s="14"/>
      <c r="E23" s="12" t="s">
        <v>679</v>
      </c>
      <c r="F23" s="15" t="s">
        <v>682</v>
      </c>
      <c r="G23" s="15" t="s">
        <v>683</v>
      </c>
      <c r="H23" s="14" t="s">
        <v>684</v>
      </c>
      <c r="I23" s="14" t="s">
        <v>685</v>
      </c>
      <c r="J23" s="14" t="s">
        <v>686</v>
      </c>
      <c r="K23" s="14" t="s">
        <v>687</v>
      </c>
      <c r="L23" s="14" t="s">
        <v>688</v>
      </c>
      <c r="M23" s="11">
        <v>7</v>
      </c>
    </row>
    <row r="24" ht="15" hidden="1" spans="1:13">
      <c r="A24" s="18">
        <v>519056</v>
      </c>
      <c r="B24" s="14" t="s">
        <v>689</v>
      </c>
      <c r="C24" s="15" t="s">
        <v>690</v>
      </c>
      <c r="D24" s="15"/>
      <c r="E24" s="18">
        <v>519056</v>
      </c>
      <c r="F24" s="15" t="s">
        <v>691</v>
      </c>
      <c r="G24" s="15" t="s">
        <v>692</v>
      </c>
      <c r="H24" s="14" t="s">
        <v>693</v>
      </c>
      <c r="I24" s="14" t="s">
        <v>694</v>
      </c>
      <c r="J24" s="14" t="s">
        <v>695</v>
      </c>
      <c r="K24" s="14" t="s">
        <v>696</v>
      </c>
      <c r="L24" s="14" t="s">
        <v>697</v>
      </c>
      <c r="M24" s="11">
        <v>6</v>
      </c>
    </row>
    <row r="25" ht="15" hidden="1" spans="1:13">
      <c r="A25" s="117" t="s">
        <v>698</v>
      </c>
      <c r="B25" s="14" t="s">
        <v>699</v>
      </c>
      <c r="C25" s="14" t="s">
        <v>700</v>
      </c>
      <c r="D25" s="14"/>
      <c r="E25" s="117" t="s">
        <v>698</v>
      </c>
      <c r="F25" s="15" t="s">
        <v>701</v>
      </c>
      <c r="G25" s="15" t="s">
        <v>702</v>
      </c>
      <c r="H25" s="14" t="s">
        <v>703</v>
      </c>
      <c r="I25" s="14" t="s">
        <v>704</v>
      </c>
      <c r="J25" s="14" t="s">
        <v>705</v>
      </c>
      <c r="K25" s="14" t="s">
        <v>706</v>
      </c>
      <c r="L25" s="14" t="s">
        <v>707</v>
      </c>
      <c r="M25" s="11">
        <v>7</v>
      </c>
    </row>
    <row r="26" ht="15" spans="1:13">
      <c r="A26" s="18">
        <v>260108</v>
      </c>
      <c r="B26" s="14" t="s">
        <v>708</v>
      </c>
      <c r="C26" s="14" t="s">
        <v>709</v>
      </c>
      <c r="D26" s="14"/>
      <c r="E26" s="18">
        <v>260108</v>
      </c>
      <c r="F26" s="15" t="s">
        <v>710</v>
      </c>
      <c r="G26" s="14" t="s">
        <v>711</v>
      </c>
      <c r="H26" s="14" t="s">
        <v>712</v>
      </c>
      <c r="I26" s="15" t="s">
        <v>713</v>
      </c>
      <c r="J26" s="14" t="s">
        <v>714</v>
      </c>
      <c r="K26" s="14" t="s">
        <v>715</v>
      </c>
      <c r="L26" s="14" t="s">
        <v>716</v>
      </c>
      <c r="M26" s="11">
        <v>7</v>
      </c>
    </row>
    <row r="27" ht="15" hidden="1" spans="1:13">
      <c r="A27" s="117" t="s">
        <v>717</v>
      </c>
      <c r="B27" s="14" t="s">
        <v>718</v>
      </c>
      <c r="C27" s="14" t="s">
        <v>719</v>
      </c>
      <c r="D27" s="14"/>
      <c r="E27" s="117" t="s">
        <v>717</v>
      </c>
      <c r="F27" s="15" t="s">
        <v>720</v>
      </c>
      <c r="G27" s="15" t="s">
        <v>721</v>
      </c>
      <c r="H27" s="14" t="s">
        <v>722</v>
      </c>
      <c r="I27" s="14" t="s">
        <v>723</v>
      </c>
      <c r="J27" s="14" t="s">
        <v>724</v>
      </c>
      <c r="K27" s="14" t="s">
        <v>725</v>
      </c>
      <c r="L27" s="14" t="s">
        <v>726</v>
      </c>
      <c r="M27" s="11">
        <v>7</v>
      </c>
    </row>
    <row r="28" ht="15" hidden="1" spans="1:13">
      <c r="A28" s="117" t="s">
        <v>727</v>
      </c>
      <c r="B28" s="14" t="s">
        <v>728</v>
      </c>
      <c r="C28" s="14" t="s">
        <v>729</v>
      </c>
      <c r="D28" s="14"/>
      <c r="E28" s="117" t="s">
        <v>727</v>
      </c>
      <c r="F28" s="15" t="s">
        <v>730</v>
      </c>
      <c r="G28" s="15" t="s">
        <v>731</v>
      </c>
      <c r="H28" s="14" t="s">
        <v>732</v>
      </c>
      <c r="I28" s="14" t="s">
        <v>733</v>
      </c>
      <c r="J28" s="14" t="s">
        <v>734</v>
      </c>
      <c r="K28" s="14" t="s">
        <v>735</v>
      </c>
      <c r="L28" s="14" t="s">
        <v>736</v>
      </c>
      <c r="M28" s="11">
        <v>7</v>
      </c>
    </row>
    <row r="29" ht="15" hidden="1" spans="1:13">
      <c r="A29" s="18">
        <v>161903</v>
      </c>
      <c r="B29" s="14" t="s">
        <v>737</v>
      </c>
      <c r="C29" s="15" t="s">
        <v>738</v>
      </c>
      <c r="D29" s="15"/>
      <c r="E29" s="18">
        <v>161903</v>
      </c>
      <c r="F29" s="15" t="s">
        <v>739</v>
      </c>
      <c r="G29" s="15" t="s">
        <v>740</v>
      </c>
      <c r="H29" s="15" t="s">
        <v>741</v>
      </c>
      <c r="I29" s="14" t="s">
        <v>742</v>
      </c>
      <c r="J29" s="14" t="s">
        <v>743</v>
      </c>
      <c r="K29" s="14" t="s">
        <v>744</v>
      </c>
      <c r="L29" s="14" t="s">
        <v>745</v>
      </c>
      <c r="M29" s="11">
        <v>5</v>
      </c>
    </row>
    <row r="30" ht="15" spans="1:13">
      <c r="A30" s="18">
        <v>519002</v>
      </c>
      <c r="B30" s="14" t="s">
        <v>746</v>
      </c>
      <c r="C30" s="15" t="s">
        <v>747</v>
      </c>
      <c r="D30" s="15"/>
      <c r="E30" s="18">
        <v>519002</v>
      </c>
      <c r="F30" s="15" t="s">
        <v>748</v>
      </c>
      <c r="G30" s="14" t="s">
        <v>749</v>
      </c>
      <c r="H30" s="14" t="s">
        <v>750</v>
      </c>
      <c r="I30" s="14" t="s">
        <v>751</v>
      </c>
      <c r="J30" s="14" t="s">
        <v>752</v>
      </c>
      <c r="K30" s="14" t="s">
        <v>753</v>
      </c>
      <c r="L30" s="14" t="s">
        <v>754</v>
      </c>
      <c r="M30" s="11">
        <v>7</v>
      </c>
    </row>
    <row r="31" ht="15" spans="1:12">
      <c r="A31" s="12"/>
      <c r="B31" s="14"/>
      <c r="C31" s="15"/>
      <c r="D31" s="15"/>
      <c r="E31" s="12"/>
      <c r="F31" s="15"/>
      <c r="G31" s="14"/>
      <c r="H31" s="14"/>
      <c r="I31" s="14"/>
      <c r="J31" s="15"/>
      <c r="K31" s="15"/>
      <c r="L31" s="17"/>
    </row>
    <row r="32" ht="15" spans="1:12">
      <c r="A32" s="117" t="s">
        <v>448</v>
      </c>
      <c r="B32" s="14" t="s">
        <v>755</v>
      </c>
      <c r="C32" s="15" t="s">
        <v>756</v>
      </c>
      <c r="D32" s="15"/>
      <c r="E32" s="117" t="s">
        <v>448</v>
      </c>
      <c r="F32" s="15" t="s">
        <v>757</v>
      </c>
      <c r="G32" s="14" t="s">
        <v>758</v>
      </c>
      <c r="H32" s="14" t="s">
        <v>759</v>
      </c>
      <c r="I32" s="14" t="s">
        <v>760</v>
      </c>
      <c r="J32" s="14" t="s">
        <v>761</v>
      </c>
      <c r="K32" s="14" t="s">
        <v>762</v>
      </c>
      <c r="L32" s="11">
        <v>6</v>
      </c>
    </row>
    <row r="33" ht="15" hidden="1" spans="1:12">
      <c r="A33" s="117" t="s">
        <v>763</v>
      </c>
      <c r="B33" s="14" t="s">
        <v>764</v>
      </c>
      <c r="C33" s="14" t="s">
        <v>765</v>
      </c>
      <c r="D33" s="14"/>
      <c r="E33" s="117" t="s">
        <v>763</v>
      </c>
      <c r="F33" s="15" t="s">
        <v>766</v>
      </c>
      <c r="G33" s="15" t="s">
        <v>767</v>
      </c>
      <c r="H33" s="14" t="s">
        <v>768</v>
      </c>
      <c r="I33" s="14" t="s">
        <v>769</v>
      </c>
      <c r="J33" s="14" t="s">
        <v>770</v>
      </c>
      <c r="K33" s="14" t="s">
        <v>771</v>
      </c>
      <c r="L33" s="11">
        <v>6</v>
      </c>
    </row>
    <row r="34" ht="15" hidden="1" spans="1:12">
      <c r="A34" s="117" t="s">
        <v>772</v>
      </c>
      <c r="B34" s="14" t="s">
        <v>773</v>
      </c>
      <c r="C34" s="15" t="s">
        <v>774</v>
      </c>
      <c r="D34" s="15"/>
      <c r="E34" s="117" t="s">
        <v>772</v>
      </c>
      <c r="F34" s="15" t="s">
        <v>775</v>
      </c>
      <c r="G34" s="15" t="s">
        <v>776</v>
      </c>
      <c r="H34" s="14" t="s">
        <v>777</v>
      </c>
      <c r="I34" s="14" t="s">
        <v>778</v>
      </c>
      <c r="J34" s="14" t="s">
        <v>779</v>
      </c>
      <c r="K34" s="14" t="s">
        <v>780</v>
      </c>
      <c r="L34" s="11">
        <v>5</v>
      </c>
    </row>
    <row r="35" ht="15" hidden="1" spans="1:12">
      <c r="A35" s="117" t="s">
        <v>781</v>
      </c>
      <c r="B35" s="14" t="s">
        <v>782</v>
      </c>
      <c r="C35" s="15" t="s">
        <v>783</v>
      </c>
      <c r="D35" s="15"/>
      <c r="E35" s="117" t="s">
        <v>781</v>
      </c>
      <c r="F35" s="15" t="s">
        <v>784</v>
      </c>
      <c r="G35" s="14" t="s">
        <v>785</v>
      </c>
      <c r="H35" s="14" t="s">
        <v>786</v>
      </c>
      <c r="I35" s="14" t="s">
        <v>787</v>
      </c>
      <c r="J35" s="14" t="s">
        <v>788</v>
      </c>
      <c r="K35" s="14" t="s">
        <v>789</v>
      </c>
      <c r="L35" s="11">
        <v>6</v>
      </c>
    </row>
    <row r="36" ht="15" hidden="1" spans="1:12">
      <c r="A36" s="117" t="s">
        <v>790</v>
      </c>
      <c r="B36" s="14" t="s">
        <v>791</v>
      </c>
      <c r="C36" s="15" t="s">
        <v>792</v>
      </c>
      <c r="D36" s="15"/>
      <c r="E36" s="117" t="s">
        <v>790</v>
      </c>
      <c r="F36" s="15" t="s">
        <v>793</v>
      </c>
      <c r="G36" s="15" t="s">
        <v>794</v>
      </c>
      <c r="H36" s="15" t="s">
        <v>795</v>
      </c>
      <c r="I36" s="14" t="s">
        <v>796</v>
      </c>
      <c r="J36" s="14" t="s">
        <v>797</v>
      </c>
      <c r="K36" s="14" t="s">
        <v>798</v>
      </c>
      <c r="L36" s="11">
        <v>4</v>
      </c>
    </row>
    <row r="37" ht="15" hidden="1" spans="1:12">
      <c r="A37" s="18">
        <v>519778</v>
      </c>
      <c r="B37" s="15" t="s">
        <v>799</v>
      </c>
      <c r="C37" s="15" t="s">
        <v>800</v>
      </c>
      <c r="D37" s="15"/>
      <c r="E37" s="18">
        <v>519778</v>
      </c>
      <c r="F37" s="15" t="s">
        <v>801</v>
      </c>
      <c r="G37" s="15" t="s">
        <v>802</v>
      </c>
      <c r="H37" s="15" t="s">
        <v>803</v>
      </c>
      <c r="I37" s="15" t="s">
        <v>804</v>
      </c>
      <c r="J37" s="14" t="s">
        <v>805</v>
      </c>
      <c r="K37" s="14" t="s">
        <v>806</v>
      </c>
      <c r="L37" s="11">
        <v>2</v>
      </c>
    </row>
    <row r="38" ht="15" hidden="1" spans="1:12">
      <c r="A38" s="117" t="s">
        <v>807</v>
      </c>
      <c r="B38" s="15" t="s">
        <v>808</v>
      </c>
      <c r="C38" s="14" t="s">
        <v>809</v>
      </c>
      <c r="D38" s="14"/>
      <c r="E38" s="117" t="s">
        <v>807</v>
      </c>
      <c r="F38" s="14" t="s">
        <v>810</v>
      </c>
      <c r="G38" s="15" t="s">
        <v>811</v>
      </c>
      <c r="H38" s="14" t="s">
        <v>812</v>
      </c>
      <c r="I38" s="15" t="s">
        <v>813</v>
      </c>
      <c r="J38" s="15" t="s">
        <v>814</v>
      </c>
      <c r="K38" s="15" t="s">
        <v>815</v>
      </c>
      <c r="L38" s="11">
        <v>3</v>
      </c>
    </row>
    <row r="39" ht="15" hidden="1" spans="1:12">
      <c r="A39" s="117" t="s">
        <v>816</v>
      </c>
      <c r="B39" s="14" t="s">
        <v>817</v>
      </c>
      <c r="C39" s="15" t="s">
        <v>818</v>
      </c>
      <c r="D39" s="15"/>
      <c r="E39" s="117" t="s">
        <v>816</v>
      </c>
      <c r="F39" s="15" t="s">
        <v>819</v>
      </c>
      <c r="G39" s="14" t="s">
        <v>820</v>
      </c>
      <c r="H39" s="14" t="s">
        <v>821</v>
      </c>
      <c r="I39" s="15" t="s">
        <v>822</v>
      </c>
      <c r="J39" s="15" t="s">
        <v>823</v>
      </c>
      <c r="K39" s="15" t="s">
        <v>824</v>
      </c>
      <c r="L39" s="11">
        <v>3</v>
      </c>
    </row>
    <row r="40" ht="15" spans="1:12">
      <c r="A40" s="117" t="s">
        <v>825</v>
      </c>
      <c r="B40" s="14" t="s">
        <v>826</v>
      </c>
      <c r="C40" s="15" t="s">
        <v>827</v>
      </c>
      <c r="D40" s="15"/>
      <c r="E40" s="117" t="s">
        <v>825</v>
      </c>
      <c r="F40" s="14" t="s">
        <v>828</v>
      </c>
      <c r="G40" s="14" t="s">
        <v>829</v>
      </c>
      <c r="H40" s="14" t="s">
        <v>830</v>
      </c>
      <c r="I40" s="15" t="s">
        <v>831</v>
      </c>
      <c r="J40" s="15" t="s">
        <v>832</v>
      </c>
      <c r="K40" s="15" t="s">
        <v>833</v>
      </c>
      <c r="L40" s="11">
        <v>4</v>
      </c>
    </row>
    <row r="41" spans="1:1">
      <c r="A41" s="18"/>
    </row>
    <row r="42" ht="15" hidden="1" spans="1:11">
      <c r="A42" s="117" t="s">
        <v>834</v>
      </c>
      <c r="B42" s="14" t="s">
        <v>835</v>
      </c>
      <c r="C42" s="14" t="s">
        <v>836</v>
      </c>
      <c r="D42" s="14"/>
      <c r="E42" s="14"/>
      <c r="F42" s="15" t="s">
        <v>837</v>
      </c>
      <c r="G42" s="15" t="s">
        <v>838</v>
      </c>
      <c r="H42" s="14" t="s">
        <v>839</v>
      </c>
      <c r="I42" s="14" t="s">
        <v>840</v>
      </c>
      <c r="J42" s="14" t="s">
        <v>841</v>
      </c>
      <c r="K42" s="11">
        <v>5</v>
      </c>
    </row>
    <row r="43" ht="15" hidden="1" spans="1:11">
      <c r="A43" s="117" t="s">
        <v>842</v>
      </c>
      <c r="B43" s="14" t="s">
        <v>843</v>
      </c>
      <c r="C43" s="14" t="s">
        <v>844</v>
      </c>
      <c r="D43" s="14"/>
      <c r="E43" s="14"/>
      <c r="F43" s="15" t="s">
        <v>845</v>
      </c>
      <c r="G43" s="15" t="s">
        <v>846</v>
      </c>
      <c r="H43" s="15" t="s">
        <v>847</v>
      </c>
      <c r="I43" s="14" t="s">
        <v>848</v>
      </c>
      <c r="J43" s="14" t="s">
        <v>849</v>
      </c>
      <c r="K43" s="11">
        <v>4</v>
      </c>
    </row>
    <row r="44" ht="15" hidden="1" spans="1:11">
      <c r="A44" s="117" t="s">
        <v>850</v>
      </c>
      <c r="B44" s="14" t="s">
        <v>851</v>
      </c>
      <c r="C44" s="14" t="s">
        <v>852</v>
      </c>
      <c r="D44" s="14"/>
      <c r="E44" s="14"/>
      <c r="F44" s="15" t="s">
        <v>853</v>
      </c>
      <c r="G44" s="15" t="s">
        <v>854</v>
      </c>
      <c r="H44" s="14" t="s">
        <v>855</v>
      </c>
      <c r="I44" s="14" t="s">
        <v>856</v>
      </c>
      <c r="J44" s="14" t="s">
        <v>857</v>
      </c>
      <c r="K44" s="11">
        <v>5</v>
      </c>
    </row>
    <row r="45" ht="15" hidden="1" spans="1:11">
      <c r="A45" s="12" t="s">
        <v>858</v>
      </c>
      <c r="B45" s="15" t="s">
        <v>859</v>
      </c>
      <c r="C45" s="14" t="s">
        <v>860</v>
      </c>
      <c r="D45" s="14"/>
      <c r="E45" s="14"/>
      <c r="F45" s="14" t="s">
        <v>861</v>
      </c>
      <c r="G45" s="15" t="s">
        <v>862</v>
      </c>
      <c r="H45" s="15" t="s">
        <v>863</v>
      </c>
      <c r="I45" s="15" t="s">
        <v>864</v>
      </c>
      <c r="J45" s="15" t="s">
        <v>865</v>
      </c>
      <c r="K45" s="11">
        <v>2</v>
      </c>
    </row>
    <row r="46" ht="15" hidden="1" spans="1:11">
      <c r="A46" s="117" t="s">
        <v>866</v>
      </c>
      <c r="B46" s="15" t="s">
        <v>867</v>
      </c>
      <c r="C46" s="15" t="s">
        <v>868</v>
      </c>
      <c r="D46" s="15"/>
      <c r="E46" s="15"/>
      <c r="F46" s="14" t="s">
        <v>869</v>
      </c>
      <c r="G46" s="15" t="s">
        <v>870</v>
      </c>
      <c r="H46" s="15" t="s">
        <v>871</v>
      </c>
      <c r="I46" s="15" t="s">
        <v>872</v>
      </c>
      <c r="J46" s="15" t="s">
        <v>873</v>
      </c>
      <c r="K46" s="11">
        <v>1</v>
      </c>
    </row>
    <row r="47" ht="15" hidden="1" spans="1:11">
      <c r="A47" s="117" t="s">
        <v>874</v>
      </c>
      <c r="B47" s="15" t="s">
        <v>875</v>
      </c>
      <c r="C47" s="15" t="s">
        <v>876</v>
      </c>
      <c r="D47" s="15"/>
      <c r="E47" s="15"/>
      <c r="F47" s="14" t="s">
        <v>877</v>
      </c>
      <c r="G47" s="15" t="s">
        <v>878</v>
      </c>
      <c r="H47" s="15" t="s">
        <v>879</v>
      </c>
      <c r="I47" s="15" t="s">
        <v>880</v>
      </c>
      <c r="J47" s="15" t="s">
        <v>881</v>
      </c>
      <c r="K47" s="11">
        <v>1</v>
      </c>
    </row>
    <row r="48" ht="15" hidden="1" spans="1:10">
      <c r="A48" s="18"/>
      <c r="B48" s="14"/>
      <c r="C48" s="14"/>
      <c r="D48" s="14"/>
      <c r="E48" s="14"/>
      <c r="F48" s="15"/>
      <c r="G48" s="15"/>
      <c r="H48" s="14"/>
      <c r="I48" s="14"/>
      <c r="J48" s="19"/>
    </row>
    <row r="49" ht="15" hidden="1" spans="1:10">
      <c r="A49" s="117" t="s">
        <v>882</v>
      </c>
      <c r="B49" s="14" t="s">
        <v>883</v>
      </c>
      <c r="C49" s="15" t="s">
        <v>884</v>
      </c>
      <c r="D49" s="15"/>
      <c r="E49" s="15"/>
      <c r="F49" s="14" t="s">
        <v>885</v>
      </c>
      <c r="G49" s="15" t="s">
        <v>886</v>
      </c>
      <c r="H49" s="14" t="s">
        <v>887</v>
      </c>
      <c r="I49" s="14" t="s">
        <v>888</v>
      </c>
      <c r="J49" s="11">
        <v>4</v>
      </c>
    </row>
    <row r="50" ht="15" hidden="1" spans="1:10">
      <c r="A50" s="117" t="s">
        <v>889</v>
      </c>
      <c r="B50" s="15" t="s">
        <v>890</v>
      </c>
      <c r="C50" s="14" t="s">
        <v>891</v>
      </c>
      <c r="D50" s="14"/>
      <c r="E50" s="14"/>
      <c r="F50" s="14" t="s">
        <v>892</v>
      </c>
      <c r="G50" s="15" t="s">
        <v>893</v>
      </c>
      <c r="H50" s="15" t="s">
        <v>894</v>
      </c>
      <c r="I50" s="15" t="s">
        <v>895</v>
      </c>
      <c r="J50" s="11">
        <v>2</v>
      </c>
    </row>
    <row r="51" ht="15" hidden="1" spans="1:10">
      <c r="A51" s="117" t="s">
        <v>896</v>
      </c>
      <c r="B51" s="15" t="s">
        <v>397</v>
      </c>
      <c r="C51" s="15" t="s">
        <v>897</v>
      </c>
      <c r="D51" s="15"/>
      <c r="E51" s="15"/>
      <c r="F51" s="15" t="s">
        <v>898</v>
      </c>
      <c r="G51" s="14" t="s">
        <v>899</v>
      </c>
      <c r="H51" s="15" t="s">
        <v>900</v>
      </c>
      <c r="J51" s="11">
        <v>1</v>
      </c>
    </row>
    <row r="52" ht="15" hidden="1" spans="1:10">
      <c r="A52" s="117" t="s">
        <v>901</v>
      </c>
      <c r="B52" s="15" t="s">
        <v>397</v>
      </c>
      <c r="C52" s="14" t="s">
        <v>902</v>
      </c>
      <c r="D52" s="14"/>
      <c r="E52" s="14"/>
      <c r="F52" s="15" t="s">
        <v>903</v>
      </c>
      <c r="G52" s="15" t="s">
        <v>904</v>
      </c>
      <c r="H52" s="15" t="s">
        <v>397</v>
      </c>
      <c r="J52" s="11">
        <v>1</v>
      </c>
    </row>
    <row r="57" ht="14.25" spans="4:10">
      <c r="D57" s="13" t="s">
        <v>486</v>
      </c>
      <c r="E57" s="13" t="s">
        <v>487</v>
      </c>
      <c r="F57" s="13" t="s">
        <v>488</v>
      </c>
      <c r="G57" s="13" t="s">
        <v>489</v>
      </c>
      <c r="H57" s="13" t="s">
        <v>490</v>
      </c>
      <c r="I57" s="13" t="s">
        <v>491</v>
      </c>
      <c r="J57" s="13" t="s">
        <v>492</v>
      </c>
    </row>
    <row r="58" spans="2:10">
      <c r="B58" s="11">
        <v>82</v>
      </c>
      <c r="C58" s="11">
        <v>96</v>
      </c>
      <c r="D58" s="11">
        <v>95</v>
      </c>
      <c r="E58" s="11">
        <v>92</v>
      </c>
      <c r="F58" s="11">
        <v>85</v>
      </c>
      <c r="G58" s="11">
        <v>79</v>
      </c>
      <c r="H58" s="11">
        <v>66</v>
      </c>
      <c r="I58" s="11">
        <v>51</v>
      </c>
      <c r="J58" s="11">
        <v>26</v>
      </c>
    </row>
    <row r="59" ht="15" spans="1:5">
      <c r="A59" s="118" t="s">
        <v>905</v>
      </c>
      <c r="C59" s="14" t="s">
        <v>906</v>
      </c>
      <c r="D59" s="14" t="s">
        <v>907</v>
      </c>
      <c r="E59" s="14" t="s">
        <v>908</v>
      </c>
    </row>
    <row r="60" ht="15" spans="1:8">
      <c r="A60" s="118" t="s">
        <v>909</v>
      </c>
      <c r="B60" s="14" t="s">
        <v>910</v>
      </c>
      <c r="C60" s="14" t="s">
        <v>911</v>
      </c>
      <c r="D60" s="14" t="s">
        <v>912</v>
      </c>
      <c r="E60" s="14" t="s">
        <v>913</v>
      </c>
      <c r="F60" s="14" t="s">
        <v>914</v>
      </c>
      <c r="G60" s="14" t="s">
        <v>915</v>
      </c>
      <c r="H60" s="14" t="s">
        <v>916</v>
      </c>
    </row>
    <row r="61" ht="15" spans="1:9">
      <c r="A61" s="117" t="s">
        <v>917</v>
      </c>
      <c r="B61" s="15" t="s">
        <v>918</v>
      </c>
      <c r="C61" s="15" t="s">
        <v>919</v>
      </c>
      <c r="D61" s="14" t="s">
        <v>920</v>
      </c>
      <c r="E61" s="14" t="s">
        <v>921</v>
      </c>
      <c r="F61" s="15" t="s">
        <v>922</v>
      </c>
      <c r="G61" s="15" t="s">
        <v>923</v>
      </c>
      <c r="H61" s="15" t="s">
        <v>924</v>
      </c>
      <c r="I61" s="15" t="s">
        <v>925</v>
      </c>
    </row>
    <row r="62" ht="15" spans="1:10">
      <c r="A62" s="118" t="s">
        <v>926</v>
      </c>
      <c r="B62" s="14" t="s">
        <v>927</v>
      </c>
      <c r="C62" s="14" t="s">
        <v>928</v>
      </c>
      <c r="D62" s="14" t="s">
        <v>929</v>
      </c>
      <c r="E62" s="14" t="s">
        <v>930</v>
      </c>
      <c r="F62" s="14" t="s">
        <v>931</v>
      </c>
      <c r="G62" s="14" t="s">
        <v>932</v>
      </c>
      <c r="H62" s="15" t="s">
        <v>933</v>
      </c>
      <c r="I62" s="15" t="s">
        <v>934</v>
      </c>
      <c r="J62" s="15" t="s">
        <v>935</v>
      </c>
    </row>
    <row r="63" ht="15" spans="1:9">
      <c r="A63" s="117" t="s">
        <v>936</v>
      </c>
      <c r="B63" s="15" t="s">
        <v>937</v>
      </c>
      <c r="C63" s="14" t="s">
        <v>938</v>
      </c>
      <c r="D63" s="14" t="s">
        <v>939</v>
      </c>
      <c r="E63" s="15" t="s">
        <v>940</v>
      </c>
      <c r="F63" s="14" t="s">
        <v>941</v>
      </c>
      <c r="G63" s="15" t="s">
        <v>942</v>
      </c>
      <c r="H63" s="15" t="s">
        <v>943</v>
      </c>
      <c r="I63" s="15" t="s">
        <v>944</v>
      </c>
    </row>
    <row r="64" ht="15" spans="1:8">
      <c r="A64" s="118" t="s">
        <v>945</v>
      </c>
      <c r="B64" s="14" t="s">
        <v>946</v>
      </c>
      <c r="C64" s="14" t="s">
        <v>947</v>
      </c>
      <c r="D64" s="14" t="s">
        <v>948</v>
      </c>
      <c r="E64" s="14" t="s">
        <v>949</v>
      </c>
      <c r="F64" s="14" t="s">
        <v>950</v>
      </c>
      <c r="G64" s="14" t="s">
        <v>951</v>
      </c>
      <c r="H64" s="14" t="s">
        <v>952</v>
      </c>
    </row>
    <row r="65" ht="15" spans="1:10">
      <c r="A65" s="118" t="s">
        <v>327</v>
      </c>
      <c r="B65" s="14" t="s">
        <v>953</v>
      </c>
      <c r="C65" s="15" t="s">
        <v>954</v>
      </c>
      <c r="D65" s="14" t="s">
        <v>955</v>
      </c>
      <c r="E65" s="14" t="s">
        <v>956</v>
      </c>
      <c r="F65" s="14" t="s">
        <v>957</v>
      </c>
      <c r="G65" s="14" t="s">
        <v>958</v>
      </c>
      <c r="H65" s="14" t="s">
        <v>959</v>
      </c>
      <c r="I65" s="14" t="s">
        <v>960</v>
      </c>
      <c r="J65" s="14" t="s">
        <v>961</v>
      </c>
    </row>
    <row r="66" ht="15" spans="1:9">
      <c r="A66" s="118" t="s">
        <v>66</v>
      </c>
      <c r="B66" s="14" t="s">
        <v>962</v>
      </c>
      <c r="C66" s="14" t="s">
        <v>963</v>
      </c>
      <c r="D66" s="14" t="s">
        <v>964</v>
      </c>
      <c r="E66" s="14" t="s">
        <v>965</v>
      </c>
      <c r="F66" s="14" t="s">
        <v>966</v>
      </c>
      <c r="G66" s="14" t="s">
        <v>967</v>
      </c>
      <c r="H66" s="14" t="s">
        <v>968</v>
      </c>
      <c r="I66" s="14" t="s">
        <v>969</v>
      </c>
    </row>
    <row r="67" ht="15" spans="1:9">
      <c r="A67" s="118" t="s">
        <v>970</v>
      </c>
      <c r="B67" s="14" t="s">
        <v>971</v>
      </c>
      <c r="C67" s="14" t="s">
        <v>972</v>
      </c>
      <c r="D67" s="14" t="s">
        <v>973</v>
      </c>
      <c r="E67" s="14" t="s">
        <v>974</v>
      </c>
      <c r="F67" s="14" t="s">
        <v>975</v>
      </c>
      <c r="G67" s="14" t="s">
        <v>976</v>
      </c>
      <c r="H67" s="15" t="s">
        <v>977</v>
      </c>
      <c r="I67" s="15" t="s">
        <v>978</v>
      </c>
    </row>
    <row r="68" ht="15" spans="1:9">
      <c r="A68" s="118" t="s">
        <v>979</v>
      </c>
      <c r="B68" s="14" t="s">
        <v>980</v>
      </c>
      <c r="C68" s="15" t="s">
        <v>981</v>
      </c>
      <c r="D68" s="14" t="s">
        <v>982</v>
      </c>
      <c r="E68" s="14" t="s">
        <v>983</v>
      </c>
      <c r="F68" s="14" t="s">
        <v>984</v>
      </c>
      <c r="G68" s="14" t="s">
        <v>985</v>
      </c>
      <c r="H68" s="14" t="s">
        <v>986</v>
      </c>
      <c r="I68" s="15" t="s">
        <v>987</v>
      </c>
    </row>
    <row r="69" ht="15" spans="1:10">
      <c r="A69" s="118" t="s">
        <v>988</v>
      </c>
      <c r="B69" s="14" t="s">
        <v>989</v>
      </c>
      <c r="C69" s="15" t="s">
        <v>990</v>
      </c>
      <c r="D69" s="15" t="s">
        <v>991</v>
      </c>
      <c r="E69" s="14" t="s">
        <v>992</v>
      </c>
      <c r="F69" s="14" t="s">
        <v>993</v>
      </c>
      <c r="G69" s="14" t="s">
        <v>994</v>
      </c>
      <c r="H69" s="14" t="s">
        <v>995</v>
      </c>
      <c r="I69" s="14" t="s">
        <v>996</v>
      </c>
      <c r="J69" s="14" t="s">
        <v>997</v>
      </c>
    </row>
    <row r="70" ht="15" spans="1:8">
      <c r="A70" s="117" t="s">
        <v>998</v>
      </c>
      <c r="B70" s="14" t="s">
        <v>999</v>
      </c>
      <c r="C70" s="15" t="s">
        <v>1000</v>
      </c>
      <c r="D70" s="15" t="s">
        <v>1001</v>
      </c>
      <c r="E70" s="15" t="s">
        <v>1002</v>
      </c>
      <c r="F70" s="14" t="s">
        <v>1003</v>
      </c>
      <c r="G70" s="14" t="s">
        <v>1004</v>
      </c>
      <c r="H70" s="14" t="s">
        <v>1005</v>
      </c>
    </row>
    <row r="71" ht="15" spans="1:9">
      <c r="A71" s="117" t="s">
        <v>341</v>
      </c>
      <c r="B71" s="14" t="s">
        <v>1006</v>
      </c>
      <c r="C71" s="15" t="s">
        <v>1007</v>
      </c>
      <c r="D71" s="15" t="s">
        <v>1008</v>
      </c>
      <c r="E71" s="15" t="s">
        <v>1009</v>
      </c>
      <c r="F71" s="15" t="s">
        <v>1010</v>
      </c>
      <c r="G71" s="14" t="s">
        <v>1011</v>
      </c>
      <c r="H71" s="14" t="s">
        <v>1012</v>
      </c>
      <c r="I71" s="14" t="s">
        <v>1013</v>
      </c>
    </row>
    <row r="72" ht="15" spans="1:9">
      <c r="A72" s="119" t="s">
        <v>1014</v>
      </c>
      <c r="B72" s="14" t="s">
        <v>1015</v>
      </c>
      <c r="C72" s="14" t="s">
        <v>1016</v>
      </c>
      <c r="D72" s="15" t="s">
        <v>1017</v>
      </c>
      <c r="E72" s="15" t="s">
        <v>1018</v>
      </c>
      <c r="F72" s="14" t="s">
        <v>1019</v>
      </c>
      <c r="G72" s="14" t="s">
        <v>1020</v>
      </c>
      <c r="H72" s="14" t="s">
        <v>1021</v>
      </c>
      <c r="I72" s="14" t="s">
        <v>1022</v>
      </c>
    </row>
    <row r="73" ht="15" spans="1:10">
      <c r="A73" s="119" t="s">
        <v>58</v>
      </c>
      <c r="B73" s="15" t="s">
        <v>1023</v>
      </c>
      <c r="C73" s="15" t="s">
        <v>1024</v>
      </c>
      <c r="D73" s="15" t="s">
        <v>1025</v>
      </c>
      <c r="E73" s="15" t="s">
        <v>1026</v>
      </c>
      <c r="F73" s="15" t="s">
        <v>1027</v>
      </c>
      <c r="G73" s="14" t="s">
        <v>1028</v>
      </c>
      <c r="H73" s="14" t="s">
        <v>1029</v>
      </c>
      <c r="I73" s="14" t="s">
        <v>1030</v>
      </c>
      <c r="J73" s="14" t="s">
        <v>1031</v>
      </c>
    </row>
    <row r="74" ht="15" spans="1:10">
      <c r="A74" s="118" t="s">
        <v>1032</v>
      </c>
      <c r="B74" s="14" t="s">
        <v>1033</v>
      </c>
      <c r="C74" s="14" t="s">
        <v>1034</v>
      </c>
      <c r="D74" s="14" t="s">
        <v>1035</v>
      </c>
      <c r="E74" s="15" t="s">
        <v>1036</v>
      </c>
      <c r="F74" s="14" t="s">
        <v>1037</v>
      </c>
      <c r="G74" s="14" t="s">
        <v>1038</v>
      </c>
      <c r="H74" s="14" t="s">
        <v>1039</v>
      </c>
      <c r="I74" s="14" t="s">
        <v>1040</v>
      </c>
      <c r="J74" s="15" t="s">
        <v>1041</v>
      </c>
    </row>
    <row r="75" ht="15" spans="1:9">
      <c r="A75" s="119" t="s">
        <v>74</v>
      </c>
      <c r="B75" s="14" t="s">
        <v>1042</v>
      </c>
      <c r="C75" s="15" t="s">
        <v>1043</v>
      </c>
      <c r="D75" s="15" t="s">
        <v>1044</v>
      </c>
      <c r="E75" s="15" t="s">
        <v>1045</v>
      </c>
      <c r="F75" s="15" t="s">
        <v>1046</v>
      </c>
      <c r="G75" s="14" t="s">
        <v>1047</v>
      </c>
      <c r="H75" s="14" t="s">
        <v>1048</v>
      </c>
      <c r="I75" s="14" t="s">
        <v>1049</v>
      </c>
    </row>
    <row r="76" ht="15" spans="1:10">
      <c r="A76" s="119" t="s">
        <v>143</v>
      </c>
      <c r="B76" s="14" t="s">
        <v>1050</v>
      </c>
      <c r="C76" s="15" t="s">
        <v>1051</v>
      </c>
      <c r="D76" s="15" t="s">
        <v>1052</v>
      </c>
      <c r="E76" s="15" t="s">
        <v>1053</v>
      </c>
      <c r="F76" s="15" t="s">
        <v>1054</v>
      </c>
      <c r="G76" s="14" t="s">
        <v>1055</v>
      </c>
      <c r="H76" s="14" t="s">
        <v>1056</v>
      </c>
      <c r="I76" s="14" t="s">
        <v>1057</v>
      </c>
      <c r="J76" s="14" t="s">
        <v>1058</v>
      </c>
    </row>
    <row r="77" ht="15" spans="1:9">
      <c r="A77" s="119" t="s">
        <v>374</v>
      </c>
      <c r="B77" s="14" t="s">
        <v>1059</v>
      </c>
      <c r="C77" s="15" t="s">
        <v>1060</v>
      </c>
      <c r="D77" s="15" t="s">
        <v>1061</v>
      </c>
      <c r="E77" s="15" t="s">
        <v>1062</v>
      </c>
      <c r="F77" s="14" t="s">
        <v>1063</v>
      </c>
      <c r="G77" s="14" t="s">
        <v>1064</v>
      </c>
      <c r="H77" s="14" t="s">
        <v>1065</v>
      </c>
      <c r="I77" s="14" t="s">
        <v>1066</v>
      </c>
    </row>
    <row r="78" ht="15" spans="1:10">
      <c r="A78" s="11">
        <v>161725</v>
      </c>
      <c r="B78" s="14" t="s">
        <v>1067</v>
      </c>
      <c r="C78" s="15" t="s">
        <v>1068</v>
      </c>
      <c r="D78" s="15" t="s">
        <v>1069</v>
      </c>
      <c r="E78" s="14" t="s">
        <v>1070</v>
      </c>
      <c r="F78" s="14" t="s">
        <v>1071</v>
      </c>
      <c r="G78" s="15" t="s">
        <v>1072</v>
      </c>
      <c r="H78" s="14" t="s">
        <v>1073</v>
      </c>
      <c r="I78" s="14" t="s">
        <v>1074</v>
      </c>
      <c r="J78" s="14" t="s">
        <v>1075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opLeftCell="A28" workbookViewId="0">
      <selection activeCell="H41" sqref="H41"/>
    </sheetView>
  </sheetViews>
  <sheetFormatPr defaultColWidth="9" defaultRowHeight="13.5"/>
  <cols>
    <col min="1" max="14" width="9" style="1"/>
    <col min="15" max="15" width="9.375" style="1"/>
    <col min="16" max="16384" width="9" style="1"/>
  </cols>
  <sheetData>
    <row r="1" ht="15.75" spans="1:15">
      <c r="A1" s="120" t="s">
        <v>309</v>
      </c>
      <c r="B1" s="2">
        <v>1</v>
      </c>
      <c r="C1" s="2" t="s">
        <v>310</v>
      </c>
      <c r="D1" s="3">
        <v>0.0816</v>
      </c>
      <c r="E1" s="2">
        <v>1281.73</v>
      </c>
      <c r="F1" s="120" t="s">
        <v>512</v>
      </c>
      <c r="G1" s="2">
        <v>1</v>
      </c>
      <c r="H1" s="2" t="s">
        <v>225</v>
      </c>
      <c r="I1" s="3">
        <v>0.0805</v>
      </c>
      <c r="J1" s="2">
        <v>1797.83</v>
      </c>
      <c r="K1" s="1">
        <v>570001</v>
      </c>
      <c r="L1" s="2">
        <v>1</v>
      </c>
      <c r="M1" s="2" t="s">
        <v>312</v>
      </c>
      <c r="N1" s="3">
        <v>0.0847</v>
      </c>
      <c r="O1" s="2">
        <v>13106.79</v>
      </c>
    </row>
    <row r="2" ht="15.75" spans="2:15">
      <c r="B2" s="2">
        <v>2</v>
      </c>
      <c r="C2" s="2" t="s">
        <v>225</v>
      </c>
      <c r="D2" s="3">
        <v>0.0815</v>
      </c>
      <c r="E2" s="2">
        <v>1280.14</v>
      </c>
      <c r="F2" s="1"/>
      <c r="G2" s="2">
        <v>2</v>
      </c>
      <c r="H2" s="2" t="s">
        <v>314</v>
      </c>
      <c r="I2" s="3">
        <v>0.0796</v>
      </c>
      <c r="J2" s="2">
        <v>1777.7</v>
      </c>
      <c r="K2" s="1"/>
      <c r="L2" s="2">
        <v>2</v>
      </c>
      <c r="M2" s="2" t="s">
        <v>313</v>
      </c>
      <c r="N2" s="3">
        <v>0.0828</v>
      </c>
      <c r="O2" s="2">
        <v>12801.87</v>
      </c>
    </row>
    <row r="3" ht="15.75" spans="2:15">
      <c r="B3" s="2">
        <v>3</v>
      </c>
      <c r="C3" s="2" t="s">
        <v>314</v>
      </c>
      <c r="D3" s="3">
        <v>0.0792</v>
      </c>
      <c r="E3" s="2">
        <v>1244.41</v>
      </c>
      <c r="F3" s="1"/>
      <c r="G3" s="2">
        <v>3</v>
      </c>
      <c r="H3" s="2" t="s">
        <v>310</v>
      </c>
      <c r="I3" s="3">
        <v>0.0795</v>
      </c>
      <c r="J3" s="2">
        <v>1776.02</v>
      </c>
      <c r="K3" s="1"/>
      <c r="L3" s="2">
        <v>3</v>
      </c>
      <c r="M3" s="2" t="s">
        <v>189</v>
      </c>
      <c r="N3" s="3">
        <v>0.0799</v>
      </c>
      <c r="O3" s="2">
        <v>12364.53</v>
      </c>
    </row>
    <row r="4" ht="15.75" spans="2:15">
      <c r="B4" s="2">
        <v>4</v>
      </c>
      <c r="C4" s="2" t="s">
        <v>197</v>
      </c>
      <c r="D4" s="3">
        <v>0.0779</v>
      </c>
      <c r="E4" s="2">
        <v>1224.01</v>
      </c>
      <c r="F4" s="1"/>
      <c r="G4" s="2">
        <v>4</v>
      </c>
      <c r="H4" s="2" t="s">
        <v>197</v>
      </c>
      <c r="I4" s="3">
        <v>0.0788</v>
      </c>
      <c r="J4" s="2">
        <v>1761.04</v>
      </c>
      <c r="K4" s="1"/>
      <c r="L4" s="2">
        <v>4</v>
      </c>
      <c r="M4" s="4" t="s">
        <v>314</v>
      </c>
      <c r="N4" s="3">
        <v>0.0784</v>
      </c>
      <c r="O4" s="2">
        <v>12119.47</v>
      </c>
    </row>
    <row r="5" ht="15.75" spans="2:15">
      <c r="B5" s="2">
        <v>5</v>
      </c>
      <c r="C5" s="2" t="s">
        <v>318</v>
      </c>
      <c r="D5" s="3">
        <v>0.0662</v>
      </c>
      <c r="E5" s="2">
        <v>1039.73</v>
      </c>
      <c r="F5" s="1"/>
      <c r="G5" s="2">
        <v>5</v>
      </c>
      <c r="H5" s="2" t="s">
        <v>264</v>
      </c>
      <c r="I5" s="3">
        <v>0.0763</v>
      </c>
      <c r="J5" s="2">
        <v>1704.87</v>
      </c>
      <c r="K5" s="1"/>
      <c r="L5" s="2">
        <v>5</v>
      </c>
      <c r="M5" s="4" t="s">
        <v>225</v>
      </c>
      <c r="N5" s="3">
        <v>0.0782</v>
      </c>
      <c r="O5" s="2">
        <v>12096.52</v>
      </c>
    </row>
    <row r="6" ht="15.75" spans="2:15">
      <c r="B6" s="2">
        <v>6</v>
      </c>
      <c r="C6" s="2" t="s">
        <v>264</v>
      </c>
      <c r="D6" s="3">
        <v>0.0598</v>
      </c>
      <c r="E6" s="2">
        <v>939.62</v>
      </c>
      <c r="F6" s="1"/>
      <c r="G6" s="2">
        <v>6</v>
      </c>
      <c r="H6" s="2" t="s">
        <v>315</v>
      </c>
      <c r="I6" s="3">
        <v>0.0744</v>
      </c>
      <c r="J6" s="2">
        <v>1661.16</v>
      </c>
      <c r="K6" s="1"/>
      <c r="L6" s="2">
        <v>6</v>
      </c>
      <c r="M6" s="2" t="s">
        <v>321</v>
      </c>
      <c r="N6" s="3">
        <v>0.0759</v>
      </c>
      <c r="O6" s="2">
        <v>11732.47</v>
      </c>
    </row>
    <row r="7" ht="15.75" spans="2:15">
      <c r="B7" s="2">
        <v>7</v>
      </c>
      <c r="C7" s="2" t="s">
        <v>322</v>
      </c>
      <c r="D7" s="3">
        <v>0.0586</v>
      </c>
      <c r="E7" s="2">
        <v>920.29</v>
      </c>
      <c r="F7" s="1"/>
      <c r="G7" s="2">
        <v>7</v>
      </c>
      <c r="H7" s="2" t="s">
        <v>318</v>
      </c>
      <c r="I7" s="3">
        <v>0.0683</v>
      </c>
      <c r="J7" s="2">
        <v>1526.76</v>
      </c>
      <c r="K7" s="1"/>
      <c r="L7" s="2">
        <v>7</v>
      </c>
      <c r="M7" s="2" t="s">
        <v>265</v>
      </c>
      <c r="N7" s="3">
        <v>0.072</v>
      </c>
      <c r="O7" s="2">
        <v>11133.35</v>
      </c>
    </row>
    <row r="8" ht="15.75" spans="2:15">
      <c r="B8" s="2">
        <v>8</v>
      </c>
      <c r="C8" s="2" t="s">
        <v>315</v>
      </c>
      <c r="D8" s="3">
        <v>0.0568</v>
      </c>
      <c r="E8" s="2">
        <v>891.97</v>
      </c>
      <c r="F8" s="1"/>
      <c r="G8" s="2">
        <v>8</v>
      </c>
      <c r="H8" s="2" t="s">
        <v>1076</v>
      </c>
      <c r="I8" s="3">
        <v>0.0671</v>
      </c>
      <c r="J8" s="2">
        <v>1498.4</v>
      </c>
      <c r="K8" s="1"/>
      <c r="L8" s="2">
        <v>8</v>
      </c>
      <c r="M8" s="2" t="s">
        <v>194</v>
      </c>
      <c r="N8" s="3">
        <v>0.0524</v>
      </c>
      <c r="O8" s="2">
        <v>8107.56</v>
      </c>
    </row>
    <row r="9" ht="15.75" spans="2:15">
      <c r="B9" s="2">
        <v>9</v>
      </c>
      <c r="C9" s="2" t="s">
        <v>323</v>
      </c>
      <c r="D9" s="3">
        <v>0.049</v>
      </c>
      <c r="E9" s="2">
        <v>770.2</v>
      </c>
      <c r="F9" s="1"/>
      <c r="G9" s="2">
        <v>9</v>
      </c>
      <c r="H9" s="2" t="s">
        <v>323</v>
      </c>
      <c r="I9" s="3">
        <v>0.0669</v>
      </c>
      <c r="J9" s="2">
        <v>1494.72</v>
      </c>
      <c r="K9" s="1"/>
      <c r="L9" s="2">
        <v>9</v>
      </c>
      <c r="M9" s="4" t="s">
        <v>193</v>
      </c>
      <c r="N9" s="3">
        <v>0.0488</v>
      </c>
      <c r="O9" s="2">
        <v>7554.95</v>
      </c>
    </row>
    <row r="10" ht="15.75" spans="2:15">
      <c r="B10" s="2">
        <v>10</v>
      </c>
      <c r="C10" s="2" t="s">
        <v>260</v>
      </c>
      <c r="D10" s="3">
        <v>0.0448</v>
      </c>
      <c r="E10" s="2">
        <v>703.72</v>
      </c>
      <c r="F10" s="1"/>
      <c r="G10" s="2">
        <v>10</v>
      </c>
      <c r="H10" s="2" t="s">
        <v>1077</v>
      </c>
      <c r="I10" s="3">
        <v>0.0577</v>
      </c>
      <c r="J10" s="2">
        <v>1288.68</v>
      </c>
      <c r="K10" s="1"/>
      <c r="L10" s="2">
        <v>10</v>
      </c>
      <c r="M10" s="2" t="s">
        <v>198</v>
      </c>
      <c r="N10" s="3">
        <v>0.044</v>
      </c>
      <c r="O10" s="2">
        <v>6799.68</v>
      </c>
    </row>
    <row r="11" ht="15.75" spans="1:15">
      <c r="A11" s="1">
        <v>481010</v>
      </c>
      <c r="B11" s="2">
        <v>1</v>
      </c>
      <c r="C11" s="4" t="s">
        <v>315</v>
      </c>
      <c r="D11" s="3">
        <v>0.0532</v>
      </c>
      <c r="E11" s="2">
        <v>1990.99</v>
      </c>
      <c r="F11" s="1">
        <v>100060</v>
      </c>
      <c r="G11" s="2">
        <v>1</v>
      </c>
      <c r="H11" s="2" t="s">
        <v>311</v>
      </c>
      <c r="I11" s="3">
        <v>0.0763</v>
      </c>
      <c r="J11" s="2">
        <v>8981.4</v>
      </c>
      <c r="K11" s="120" t="s">
        <v>548</v>
      </c>
      <c r="L11" s="2">
        <v>1</v>
      </c>
      <c r="M11" s="4" t="s">
        <v>193</v>
      </c>
      <c r="N11" s="3">
        <v>0.0657</v>
      </c>
      <c r="O11" s="2">
        <v>1533.24</v>
      </c>
    </row>
    <row r="12" ht="15.75" spans="2:15">
      <c r="B12" s="2">
        <v>2</v>
      </c>
      <c r="C12" s="2" t="s">
        <v>370</v>
      </c>
      <c r="D12" s="3">
        <v>0.0529</v>
      </c>
      <c r="E12" s="2">
        <v>1977.56</v>
      </c>
      <c r="F12" s="1"/>
      <c r="G12" s="2">
        <v>2</v>
      </c>
      <c r="H12" s="4" t="s">
        <v>197</v>
      </c>
      <c r="I12" s="3">
        <v>0.0744</v>
      </c>
      <c r="J12" s="2">
        <v>8749.59</v>
      </c>
      <c r="K12" s="1"/>
      <c r="L12" s="2">
        <v>2</v>
      </c>
      <c r="M12" s="2" t="s">
        <v>186</v>
      </c>
      <c r="N12" s="3">
        <v>0.0627</v>
      </c>
      <c r="O12" s="2">
        <v>1462.88</v>
      </c>
    </row>
    <row r="13" ht="15.75" spans="2:15">
      <c r="B13" s="2">
        <v>3</v>
      </c>
      <c r="C13" s="2" t="s">
        <v>1078</v>
      </c>
      <c r="D13" s="3">
        <v>0.0495</v>
      </c>
      <c r="E13" s="2">
        <v>1850.41</v>
      </c>
      <c r="F13" s="1"/>
      <c r="G13" s="2">
        <v>3</v>
      </c>
      <c r="H13" s="2" t="s">
        <v>260</v>
      </c>
      <c r="I13" s="3">
        <v>0.0735</v>
      </c>
      <c r="J13" s="2">
        <v>8651.37</v>
      </c>
      <c r="K13" s="1"/>
      <c r="L13" s="2">
        <v>3</v>
      </c>
      <c r="M13" s="4" t="s">
        <v>225</v>
      </c>
      <c r="N13" s="3">
        <v>0.0486</v>
      </c>
      <c r="O13" s="2">
        <v>1132.7</v>
      </c>
    </row>
    <row r="14" ht="15.75" spans="2:15">
      <c r="B14" s="2">
        <v>4</v>
      </c>
      <c r="C14" s="2" t="s">
        <v>317</v>
      </c>
      <c r="D14" s="3">
        <v>0.0488</v>
      </c>
      <c r="E14" s="2">
        <v>1824.65</v>
      </c>
      <c r="F14" s="1"/>
      <c r="G14" s="2">
        <v>4</v>
      </c>
      <c r="H14" s="2" t="s">
        <v>382</v>
      </c>
      <c r="I14" s="3">
        <v>0.0721</v>
      </c>
      <c r="J14" s="2">
        <v>8486.44</v>
      </c>
      <c r="K14" s="1"/>
      <c r="L14" s="2">
        <v>4</v>
      </c>
      <c r="M14" s="2" t="s">
        <v>250</v>
      </c>
      <c r="N14" s="3">
        <v>0.0473</v>
      </c>
      <c r="O14" s="2">
        <v>1104.02</v>
      </c>
    </row>
    <row r="15" ht="15.75" spans="2:15">
      <c r="B15" s="2">
        <v>5</v>
      </c>
      <c r="C15" s="4" t="s">
        <v>264</v>
      </c>
      <c r="D15" s="3">
        <v>0.047</v>
      </c>
      <c r="E15" s="2">
        <v>1757.1</v>
      </c>
      <c r="F15" s="1"/>
      <c r="G15" s="2">
        <v>5</v>
      </c>
      <c r="H15" s="2" t="s">
        <v>1079</v>
      </c>
      <c r="I15" s="3">
        <v>0.0641</v>
      </c>
      <c r="J15" s="2">
        <v>7543.24</v>
      </c>
      <c r="K15" s="1"/>
      <c r="L15" s="2">
        <v>5</v>
      </c>
      <c r="M15" s="2" t="s">
        <v>1080</v>
      </c>
      <c r="N15" s="3">
        <v>0.0396</v>
      </c>
      <c r="O15" s="2">
        <v>924.52</v>
      </c>
    </row>
    <row r="16" ht="15.75" spans="2:15">
      <c r="B16" s="2">
        <v>6</v>
      </c>
      <c r="C16" s="2" t="s">
        <v>1081</v>
      </c>
      <c r="D16" s="3">
        <v>0.0448</v>
      </c>
      <c r="E16" s="2">
        <v>1675.03</v>
      </c>
      <c r="F16" s="1"/>
      <c r="G16" s="2">
        <v>6</v>
      </c>
      <c r="H16" s="2" t="s">
        <v>194</v>
      </c>
      <c r="I16" s="3">
        <v>0.0471</v>
      </c>
      <c r="J16" s="2">
        <v>5537.26</v>
      </c>
      <c r="K16" s="1"/>
      <c r="L16" s="2">
        <v>6</v>
      </c>
      <c r="M16" s="4" t="s">
        <v>197</v>
      </c>
      <c r="N16" s="3">
        <v>0.0395</v>
      </c>
      <c r="O16" s="2">
        <v>920.62</v>
      </c>
    </row>
    <row r="17" ht="15.75" spans="2:15">
      <c r="B17" s="2">
        <v>7</v>
      </c>
      <c r="C17" s="2" t="s">
        <v>382</v>
      </c>
      <c r="D17" s="3">
        <v>0.0398</v>
      </c>
      <c r="E17" s="2">
        <v>1487.41</v>
      </c>
      <c r="F17" s="1"/>
      <c r="G17" s="2">
        <v>7</v>
      </c>
      <c r="H17" s="2" t="s">
        <v>1082</v>
      </c>
      <c r="I17" s="3">
        <v>0.0451</v>
      </c>
      <c r="J17" s="2">
        <v>5306.36</v>
      </c>
      <c r="K17" s="1"/>
      <c r="L17" s="2">
        <v>7</v>
      </c>
      <c r="M17" s="2" t="s">
        <v>1083</v>
      </c>
      <c r="N17" s="3">
        <v>0.038</v>
      </c>
      <c r="O17" s="2">
        <v>887.4</v>
      </c>
    </row>
    <row r="18" ht="15.75" spans="2:15">
      <c r="B18" s="2">
        <v>8</v>
      </c>
      <c r="C18" s="2" t="s">
        <v>1084</v>
      </c>
      <c r="D18" s="3">
        <v>0.0385</v>
      </c>
      <c r="E18" s="2">
        <v>1441.25</v>
      </c>
      <c r="F18" s="1"/>
      <c r="G18" s="2">
        <v>8</v>
      </c>
      <c r="H18" s="2" t="s">
        <v>1085</v>
      </c>
      <c r="I18" s="3">
        <v>0.0396</v>
      </c>
      <c r="J18" s="2">
        <v>4665.36</v>
      </c>
      <c r="K18" s="1"/>
      <c r="L18" s="2">
        <v>8</v>
      </c>
      <c r="M18" s="2" t="s">
        <v>1086</v>
      </c>
      <c r="N18" s="3">
        <v>0.0347</v>
      </c>
      <c r="O18" s="2">
        <v>808.32</v>
      </c>
    </row>
    <row r="19" ht="15.75" spans="2:15">
      <c r="B19" s="2">
        <v>9</v>
      </c>
      <c r="C19" s="2" t="s">
        <v>333</v>
      </c>
      <c r="D19" s="3">
        <v>0.0358</v>
      </c>
      <c r="E19" s="2">
        <v>1339.8</v>
      </c>
      <c r="F19" s="1"/>
      <c r="G19" s="2">
        <v>9</v>
      </c>
      <c r="H19" s="2" t="s">
        <v>205</v>
      </c>
      <c r="I19" s="3">
        <v>0.0386</v>
      </c>
      <c r="J19" s="2">
        <v>4542.64</v>
      </c>
      <c r="K19" s="1"/>
      <c r="L19" s="2">
        <v>9</v>
      </c>
      <c r="M19" s="2" t="s">
        <v>1087</v>
      </c>
      <c r="N19" s="3">
        <v>0.0345</v>
      </c>
      <c r="O19" s="2">
        <v>804.99</v>
      </c>
    </row>
    <row r="20" ht="15.75" spans="2:15">
      <c r="B20" s="2">
        <v>10</v>
      </c>
      <c r="C20" s="2" t="s">
        <v>1088</v>
      </c>
      <c r="D20" s="3">
        <v>0.035</v>
      </c>
      <c r="E20" s="2">
        <v>1309.15</v>
      </c>
      <c r="F20" s="1"/>
      <c r="G20" s="2">
        <v>10</v>
      </c>
      <c r="H20" s="2" t="s">
        <v>252</v>
      </c>
      <c r="I20" s="3">
        <v>0.0358</v>
      </c>
      <c r="J20" s="2">
        <v>4208.14</v>
      </c>
      <c r="K20" s="1"/>
      <c r="L20" s="2">
        <v>10</v>
      </c>
      <c r="M20" s="2" t="s">
        <v>1089</v>
      </c>
      <c r="N20" s="3">
        <v>0.0335</v>
      </c>
      <c r="O20" s="2">
        <v>782.55</v>
      </c>
    </row>
    <row r="21" ht="15.75" spans="6:10">
      <c r="F21" s="1">
        <v>162605</v>
      </c>
      <c r="G21" s="2">
        <v>1</v>
      </c>
      <c r="H21" s="2" t="s">
        <v>193</v>
      </c>
      <c r="I21" s="3">
        <v>0.0989</v>
      </c>
      <c r="J21" s="2">
        <v>55785.12</v>
      </c>
    </row>
    <row r="22" ht="15.75" spans="7:10">
      <c r="G22" s="2">
        <v>2</v>
      </c>
      <c r="H22" s="2" t="s">
        <v>186</v>
      </c>
      <c r="I22" s="3">
        <v>0.0978</v>
      </c>
      <c r="J22" s="2">
        <v>55150.58</v>
      </c>
    </row>
    <row r="23" ht="15.75" spans="7:10">
      <c r="G23" s="2">
        <v>3</v>
      </c>
      <c r="H23" s="2" t="s">
        <v>240</v>
      </c>
      <c r="I23" s="3">
        <v>0.0904</v>
      </c>
      <c r="J23" s="2">
        <v>50982.48</v>
      </c>
    </row>
    <row r="24" ht="15.75" spans="7:10">
      <c r="G24" s="2">
        <v>4</v>
      </c>
      <c r="H24" s="2" t="s">
        <v>1090</v>
      </c>
      <c r="I24" s="3">
        <v>0.0842</v>
      </c>
      <c r="J24" s="2">
        <v>47502</v>
      </c>
    </row>
    <row r="25" ht="15.75" spans="7:10">
      <c r="G25" s="2">
        <v>5</v>
      </c>
      <c r="H25" s="2" t="s">
        <v>265</v>
      </c>
      <c r="I25" s="3">
        <v>0.0827</v>
      </c>
      <c r="J25" s="2">
        <v>46638.2</v>
      </c>
    </row>
    <row r="26" ht="15.75" spans="7:10">
      <c r="G26" s="2">
        <v>6</v>
      </c>
      <c r="H26" s="2" t="s">
        <v>198</v>
      </c>
      <c r="I26" s="3">
        <v>0.0808</v>
      </c>
      <c r="J26" s="2">
        <v>45560</v>
      </c>
    </row>
    <row r="27" ht="15.75" spans="7:10">
      <c r="G27" s="2">
        <v>7</v>
      </c>
      <c r="H27" s="2" t="s">
        <v>248</v>
      </c>
      <c r="I27" s="3">
        <v>0.0563</v>
      </c>
      <c r="J27" s="2">
        <v>31747.75</v>
      </c>
    </row>
    <row r="28" ht="15.75" spans="7:10">
      <c r="G28" s="2">
        <v>8</v>
      </c>
      <c r="H28" s="2" t="s">
        <v>235</v>
      </c>
      <c r="I28" s="3">
        <v>0.0533</v>
      </c>
      <c r="J28" s="2">
        <v>30077.59</v>
      </c>
    </row>
    <row r="29" ht="15.75" spans="7:10">
      <c r="G29" s="2">
        <v>9</v>
      </c>
      <c r="H29" s="2" t="s">
        <v>378</v>
      </c>
      <c r="I29" s="3">
        <v>0.0533</v>
      </c>
      <c r="J29" s="2">
        <v>30048</v>
      </c>
    </row>
    <row r="30" ht="15.75" spans="7:10">
      <c r="G30" s="2">
        <v>10</v>
      </c>
      <c r="H30" s="2" t="s">
        <v>256</v>
      </c>
      <c r="I30" s="3">
        <v>0.053</v>
      </c>
      <c r="J30" s="2">
        <v>29895</v>
      </c>
    </row>
    <row r="31" ht="15.75" spans="7:10">
      <c r="G31" s="2"/>
      <c r="H31" s="2"/>
      <c r="I31" s="3"/>
      <c r="J31" s="2"/>
    </row>
    <row r="32" ht="15.75" spans="1:15">
      <c r="A32" s="120" t="s">
        <v>66</v>
      </c>
      <c r="B32" s="5">
        <v>1</v>
      </c>
      <c r="C32" s="6" t="s">
        <v>225</v>
      </c>
      <c r="D32" s="7">
        <v>0.0686</v>
      </c>
      <c r="E32" s="5">
        <v>5038.02</v>
      </c>
      <c r="F32" s="120" t="s">
        <v>512</v>
      </c>
      <c r="G32" s="2">
        <v>1</v>
      </c>
      <c r="H32" s="4" t="s">
        <v>225</v>
      </c>
      <c r="I32" s="3">
        <v>0.0805</v>
      </c>
      <c r="J32" s="2">
        <v>1797.83</v>
      </c>
      <c r="K32" s="120" t="s">
        <v>64</v>
      </c>
      <c r="L32" s="5">
        <v>1</v>
      </c>
      <c r="M32" s="5" t="s">
        <v>311</v>
      </c>
      <c r="N32" s="7">
        <v>0.1069</v>
      </c>
      <c r="O32" s="5">
        <v>15665.58</v>
      </c>
    </row>
    <row r="33" ht="15.75" spans="2:15">
      <c r="B33" s="5">
        <v>2</v>
      </c>
      <c r="C33" s="5" t="s">
        <v>311</v>
      </c>
      <c r="D33" s="7">
        <v>0.0614</v>
      </c>
      <c r="E33" s="5">
        <v>4506.57</v>
      </c>
      <c r="G33" s="2">
        <v>2</v>
      </c>
      <c r="H33" s="2" t="s">
        <v>314</v>
      </c>
      <c r="I33" s="3">
        <v>0.0796</v>
      </c>
      <c r="J33" s="2">
        <v>1777.7</v>
      </c>
      <c r="L33" s="5">
        <v>2</v>
      </c>
      <c r="M33" s="6" t="s">
        <v>197</v>
      </c>
      <c r="N33" s="7">
        <v>0.1018</v>
      </c>
      <c r="O33" s="5">
        <v>14914.61</v>
      </c>
    </row>
    <row r="34" ht="15.75" spans="2:15">
      <c r="B34" s="5">
        <v>3</v>
      </c>
      <c r="C34" s="5" t="s">
        <v>314</v>
      </c>
      <c r="D34" s="7">
        <v>0.0586</v>
      </c>
      <c r="E34" s="5">
        <v>4299.46</v>
      </c>
      <c r="G34" s="2">
        <v>3</v>
      </c>
      <c r="H34" s="2" t="s">
        <v>310</v>
      </c>
      <c r="I34" s="3">
        <v>0.0795</v>
      </c>
      <c r="J34" s="2">
        <v>1776.02</v>
      </c>
      <c r="L34" s="5">
        <v>3</v>
      </c>
      <c r="M34" s="5" t="s">
        <v>315</v>
      </c>
      <c r="N34" s="7">
        <v>0.0744</v>
      </c>
      <c r="O34" s="5">
        <v>10905.59</v>
      </c>
    </row>
    <row r="35" ht="15.75" spans="2:15">
      <c r="B35" s="5">
        <v>4</v>
      </c>
      <c r="C35" s="5" t="s">
        <v>316</v>
      </c>
      <c r="D35" s="7">
        <v>0.0545</v>
      </c>
      <c r="E35" s="5">
        <v>3996.97</v>
      </c>
      <c r="G35" s="2">
        <v>4</v>
      </c>
      <c r="H35" s="4" t="s">
        <v>197</v>
      </c>
      <c r="I35" s="3">
        <v>0.0788</v>
      </c>
      <c r="J35" s="2">
        <v>1761.04</v>
      </c>
      <c r="L35" s="5">
        <v>4</v>
      </c>
      <c r="M35" s="5" t="s">
        <v>239</v>
      </c>
      <c r="N35" s="7">
        <v>0.0655</v>
      </c>
      <c r="O35" s="5">
        <v>9601.88</v>
      </c>
    </row>
    <row r="36" ht="15.75" spans="2:15">
      <c r="B36" s="5">
        <v>5</v>
      </c>
      <c r="C36" s="5" t="s">
        <v>317</v>
      </c>
      <c r="D36" s="7">
        <v>0.0466</v>
      </c>
      <c r="E36" s="5">
        <v>3421.14</v>
      </c>
      <c r="G36" s="2">
        <v>5</v>
      </c>
      <c r="H36" s="2" t="s">
        <v>264</v>
      </c>
      <c r="I36" s="3">
        <v>0.0763</v>
      </c>
      <c r="J36" s="2">
        <v>1704.87</v>
      </c>
      <c r="L36" s="5">
        <v>5</v>
      </c>
      <c r="M36" s="5" t="s">
        <v>319</v>
      </c>
      <c r="N36" s="7">
        <v>0.0646</v>
      </c>
      <c r="O36" s="5">
        <v>9470.78</v>
      </c>
    </row>
    <row r="37" ht="15.75" spans="2:15">
      <c r="B37" s="5">
        <v>6</v>
      </c>
      <c r="C37" s="5" t="s">
        <v>320</v>
      </c>
      <c r="D37" s="7">
        <v>0.0455</v>
      </c>
      <c r="E37" s="5">
        <v>3342.31</v>
      </c>
      <c r="G37" s="2">
        <v>6</v>
      </c>
      <c r="H37" s="2" t="s">
        <v>315</v>
      </c>
      <c r="I37" s="3">
        <v>0.0744</v>
      </c>
      <c r="J37" s="2">
        <v>1661.16</v>
      </c>
      <c r="L37" s="5">
        <v>6</v>
      </c>
      <c r="M37" s="6" t="s">
        <v>225</v>
      </c>
      <c r="N37" s="7">
        <v>0.0572</v>
      </c>
      <c r="O37" s="5">
        <v>8375.73</v>
      </c>
    </row>
    <row r="38" ht="15.75" spans="2:15">
      <c r="B38" s="5">
        <v>7</v>
      </c>
      <c r="C38" s="5" t="s">
        <v>224</v>
      </c>
      <c r="D38" s="7">
        <v>0.0448</v>
      </c>
      <c r="E38" s="5">
        <v>3285</v>
      </c>
      <c r="G38" s="2">
        <v>7</v>
      </c>
      <c r="H38" s="2" t="s">
        <v>318</v>
      </c>
      <c r="I38" s="3">
        <v>0.0683</v>
      </c>
      <c r="J38" s="2">
        <v>1526.76</v>
      </c>
      <c r="L38" s="5">
        <v>7</v>
      </c>
      <c r="M38" s="5" t="s">
        <v>323</v>
      </c>
      <c r="N38" s="7">
        <v>0.0503</v>
      </c>
      <c r="O38" s="5">
        <v>7369.73</v>
      </c>
    </row>
    <row r="39" ht="15.75" spans="2:15">
      <c r="B39" s="5">
        <v>8</v>
      </c>
      <c r="C39" s="6" t="s">
        <v>197</v>
      </c>
      <c r="D39" s="7">
        <v>0.0421</v>
      </c>
      <c r="E39" s="5">
        <v>3088.06</v>
      </c>
      <c r="G39" s="2">
        <v>8</v>
      </c>
      <c r="H39" s="2" t="s">
        <v>1076</v>
      </c>
      <c r="I39" s="3">
        <v>0.0671</v>
      </c>
      <c r="J39" s="2">
        <v>1498.4</v>
      </c>
      <c r="L39" s="5">
        <v>8</v>
      </c>
      <c r="M39" s="5" t="s">
        <v>324</v>
      </c>
      <c r="N39" s="7">
        <v>0.0484</v>
      </c>
      <c r="O39" s="5">
        <v>7097.11</v>
      </c>
    </row>
    <row r="40" ht="15.75" spans="2:15">
      <c r="B40" s="5">
        <v>9</v>
      </c>
      <c r="C40" s="5" t="s">
        <v>239</v>
      </c>
      <c r="D40" s="7">
        <v>0.0397</v>
      </c>
      <c r="E40" s="5">
        <v>2910.75</v>
      </c>
      <c r="G40" s="2">
        <v>9</v>
      </c>
      <c r="H40" s="2" t="s">
        <v>323</v>
      </c>
      <c r="I40" s="3">
        <v>0.0669</v>
      </c>
      <c r="J40" s="2">
        <v>1494.72</v>
      </c>
      <c r="L40" s="5">
        <v>9</v>
      </c>
      <c r="M40" s="5" t="s">
        <v>325</v>
      </c>
      <c r="N40" s="7">
        <v>0.0479</v>
      </c>
      <c r="O40" s="5">
        <v>7019.97</v>
      </c>
    </row>
    <row r="41" ht="15.75" spans="2:15">
      <c r="B41" s="8">
        <v>10</v>
      </c>
      <c r="C41" s="8" t="s">
        <v>276</v>
      </c>
      <c r="D41" s="9">
        <v>0.0368</v>
      </c>
      <c r="E41" s="8">
        <v>2702.81</v>
      </c>
      <c r="G41" s="2">
        <v>10</v>
      </c>
      <c r="H41" s="2" t="s">
        <v>1077</v>
      </c>
      <c r="I41" s="3">
        <v>0.0577</v>
      </c>
      <c r="J41" s="2">
        <v>1288.68</v>
      </c>
      <c r="L41" s="8">
        <v>10</v>
      </c>
      <c r="M41" s="8" t="s">
        <v>326</v>
      </c>
      <c r="N41" s="9">
        <v>0.0462</v>
      </c>
      <c r="O41" s="8">
        <v>6771.29</v>
      </c>
    </row>
    <row r="43" ht="30" customHeight="1" spans="1:4">
      <c r="A43" s="10" t="s">
        <v>1091</v>
      </c>
      <c r="B43" s="120" t="s">
        <v>66</v>
      </c>
      <c r="C43" s="120" t="s">
        <v>512</v>
      </c>
      <c r="D43" s="120" t="s">
        <v>64</v>
      </c>
    </row>
    <row r="44" spans="1:3">
      <c r="A44" s="5" t="s">
        <v>311</v>
      </c>
      <c r="B44" s="120" t="s">
        <v>66</v>
      </c>
      <c r="C44" s="120" t="s">
        <v>64</v>
      </c>
    </row>
    <row r="45" spans="1:3">
      <c r="A45" s="5" t="s">
        <v>311</v>
      </c>
      <c r="B45" s="120" t="s">
        <v>66</v>
      </c>
      <c r="C45" s="120" t="s">
        <v>64</v>
      </c>
    </row>
    <row r="46" spans="1:3">
      <c r="A46" s="5" t="s">
        <v>239</v>
      </c>
      <c r="B46" s="120" t="s">
        <v>66</v>
      </c>
      <c r="C46" s="120" t="s">
        <v>64</v>
      </c>
    </row>
    <row r="47" spans="1:3">
      <c r="A47" s="5" t="s">
        <v>314</v>
      </c>
      <c r="B47" s="120" t="s">
        <v>66</v>
      </c>
      <c r="C47" s="120" t="s">
        <v>512</v>
      </c>
    </row>
    <row r="48" spans="1:3">
      <c r="A48" s="5" t="s">
        <v>323</v>
      </c>
      <c r="B48" s="120" t="s">
        <v>512</v>
      </c>
      <c r="C48" s="120" t="s">
        <v>64</v>
      </c>
    </row>
    <row r="49" spans="1:3">
      <c r="A49" s="2" t="s">
        <v>315</v>
      </c>
      <c r="B49" s="120" t="s">
        <v>512</v>
      </c>
      <c r="C49" s="120" t="s">
        <v>64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6"/>
  <sheetViews>
    <sheetView tabSelected="1" workbookViewId="0">
      <selection activeCell="D26" sqref="D26"/>
    </sheetView>
  </sheetViews>
  <sheetFormatPr defaultColWidth="9" defaultRowHeight="13.5" outlineLevelCol="4"/>
  <cols>
    <col min="2" max="2" width="13.625" customWidth="1"/>
    <col min="3" max="3" width="19.125" customWidth="1"/>
    <col min="4" max="4" width="39.5" customWidth="1"/>
  </cols>
  <sheetData>
    <row r="1" spans="1:5">
      <c r="A1">
        <v>3</v>
      </c>
      <c r="B1" t="s">
        <v>1092</v>
      </c>
      <c r="C1" t="s">
        <v>1093</v>
      </c>
      <c r="D1" t="s">
        <v>1094</v>
      </c>
      <c r="E1" t="s">
        <v>1095</v>
      </c>
    </row>
    <row r="2" spans="1:5">
      <c r="A2">
        <v>11</v>
      </c>
      <c r="B2" t="s">
        <v>1096</v>
      </c>
      <c r="C2" t="s">
        <v>1097</v>
      </c>
      <c r="D2" t="s">
        <v>1094</v>
      </c>
      <c r="E2" t="s">
        <v>1095</v>
      </c>
    </row>
    <row r="3" spans="1:5">
      <c r="A3">
        <v>68</v>
      </c>
      <c r="B3" t="s">
        <v>1098</v>
      </c>
      <c r="C3" t="s">
        <v>1099</v>
      </c>
      <c r="D3" t="s">
        <v>1094</v>
      </c>
      <c r="E3" t="s">
        <v>1095</v>
      </c>
    </row>
    <row r="4" spans="1:5">
      <c r="A4">
        <v>80</v>
      </c>
      <c r="B4" t="s">
        <v>1100</v>
      </c>
      <c r="C4" t="s">
        <v>1101</v>
      </c>
      <c r="D4" t="s">
        <v>1094</v>
      </c>
      <c r="E4" t="s">
        <v>1095</v>
      </c>
    </row>
    <row r="5" spans="1:5">
      <c r="A5">
        <v>89</v>
      </c>
      <c r="B5" t="s">
        <v>1102</v>
      </c>
      <c r="C5" t="s">
        <v>1103</v>
      </c>
      <c r="D5" t="s">
        <v>1094</v>
      </c>
      <c r="E5" t="s">
        <v>1095</v>
      </c>
    </row>
    <row r="6" spans="1:5">
      <c r="A6">
        <v>99</v>
      </c>
      <c r="B6" t="s">
        <v>1104</v>
      </c>
      <c r="C6" t="s">
        <v>1105</v>
      </c>
      <c r="D6" t="s">
        <v>1094</v>
      </c>
      <c r="E6" t="s">
        <v>1095</v>
      </c>
    </row>
    <row r="7" hidden="1" spans="1:5">
      <c r="A7">
        <v>162</v>
      </c>
      <c r="B7" t="s">
        <v>1106</v>
      </c>
      <c r="C7" t="s">
        <v>1107</v>
      </c>
      <c r="D7" t="s">
        <v>1108</v>
      </c>
      <c r="E7" t="s">
        <v>1109</v>
      </c>
    </row>
    <row r="8" hidden="1" spans="1:5">
      <c r="A8">
        <v>176</v>
      </c>
      <c r="B8" t="s">
        <v>1110</v>
      </c>
      <c r="C8" t="s">
        <v>1111</v>
      </c>
      <c r="D8" t="s">
        <v>1112</v>
      </c>
      <c r="E8" t="s">
        <v>1113</v>
      </c>
    </row>
    <row r="9" hidden="1" spans="1:5">
      <c r="A9">
        <v>177</v>
      </c>
      <c r="B9" t="s">
        <v>1114</v>
      </c>
      <c r="C9" t="s">
        <v>1115</v>
      </c>
      <c r="D9" t="s">
        <v>1094</v>
      </c>
      <c r="E9" t="s">
        <v>1113</v>
      </c>
    </row>
    <row r="10" hidden="1" spans="1:5">
      <c r="A10">
        <v>192</v>
      </c>
      <c r="B10" t="s">
        <v>1116</v>
      </c>
      <c r="C10" t="s">
        <v>1117</v>
      </c>
      <c r="D10" t="s">
        <v>1094</v>
      </c>
      <c r="E10" t="s">
        <v>1113</v>
      </c>
    </row>
    <row r="11" spans="1:5">
      <c r="A11">
        <v>273</v>
      </c>
      <c r="B11" t="s">
        <v>1118</v>
      </c>
      <c r="C11" t="s">
        <v>1119</v>
      </c>
      <c r="D11" t="s">
        <v>1094</v>
      </c>
      <c r="E11" t="s">
        <v>1095</v>
      </c>
    </row>
    <row r="12" spans="1:5">
      <c r="A12">
        <v>275</v>
      </c>
      <c r="B12" t="s">
        <v>1120</v>
      </c>
      <c r="C12" t="s">
        <v>1121</v>
      </c>
      <c r="D12" t="s">
        <v>1094</v>
      </c>
      <c r="E12" t="s">
        <v>1095</v>
      </c>
    </row>
    <row r="13" spans="1:5">
      <c r="A13">
        <v>290</v>
      </c>
      <c r="B13" t="s">
        <v>1122</v>
      </c>
      <c r="C13" t="s">
        <v>1123</v>
      </c>
      <c r="D13" t="s">
        <v>1094</v>
      </c>
      <c r="E13" t="s">
        <v>1095</v>
      </c>
    </row>
    <row r="14" spans="1:5">
      <c r="A14">
        <v>298</v>
      </c>
      <c r="B14" t="s">
        <v>1124</v>
      </c>
      <c r="C14" t="s">
        <v>1125</v>
      </c>
      <c r="D14" t="s">
        <v>1094</v>
      </c>
      <c r="E14" t="s">
        <v>1095</v>
      </c>
    </row>
    <row r="15" hidden="1" spans="1:5">
      <c r="A15">
        <v>323</v>
      </c>
      <c r="B15" t="s">
        <v>1126</v>
      </c>
      <c r="C15" t="s">
        <v>1127</v>
      </c>
      <c r="D15" t="s">
        <v>1094</v>
      </c>
      <c r="E15" t="s">
        <v>1113</v>
      </c>
    </row>
    <row r="16" hidden="1" spans="1:5">
      <c r="A16">
        <v>327</v>
      </c>
      <c r="B16" t="s">
        <v>1128</v>
      </c>
      <c r="C16" t="s">
        <v>1129</v>
      </c>
      <c r="D16" t="s">
        <v>1094</v>
      </c>
      <c r="E16" t="s">
        <v>1113</v>
      </c>
    </row>
  </sheetData>
  <autoFilter ref="A1:E16">
    <filterColumn colId="4">
      <customFilters>
        <customFilter operator="equal" val="INHE"/>
        <customFilter operator="equal" val="WITLINK"/>
      </customFilters>
    </filterColumn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Sheet7</vt:lpstr>
      <vt:lpstr>Sheet8</vt:lpstr>
      <vt:lpstr>Sheet9</vt:lpstr>
      <vt:lpstr>Sheet10</vt:lpstr>
      <vt:lpstr>Sheet6</vt:lpstr>
      <vt:lpstr>Sheet11</vt:lpstr>
      <vt:lpstr>Sheet12</vt:lpstr>
      <vt:lpstr>Sheet13</vt:lpstr>
      <vt:lpstr>Sheet14</vt:lpstr>
      <vt:lpstr>Sheet16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易双荣</cp:lastModifiedBy>
  <dcterms:created xsi:type="dcterms:W3CDTF">2020-08-31T09:41:00Z</dcterms:created>
  <dcterms:modified xsi:type="dcterms:W3CDTF">2020-09-30T08:13:23Z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